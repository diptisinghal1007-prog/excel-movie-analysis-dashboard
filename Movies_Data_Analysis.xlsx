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833BB3E29F198C/Documents/"/>
    </mc:Choice>
  </mc:AlternateContent>
  <xr:revisionPtr revIDLastSave="977" documentId="8_{FFDE11EA-424D-4EDD-88A2-15318A1C6F37}" xr6:coauthVersionLast="47" xr6:coauthVersionMax="47" xr10:uidLastSave="{97C6CAFF-9C5E-4563-9974-95FF06A871EE}"/>
  <bookViews>
    <workbookView xWindow="-108" yWindow="-108" windowWidth="23256" windowHeight="12456" xr2:uid="{D86BC3CA-A454-436A-8EC9-921FA4223B75}"/>
  </bookViews>
  <sheets>
    <sheet name="Raw Data" sheetId="2" r:id="rId1"/>
    <sheet name="Analysis" sheetId="3" r:id="rId2"/>
    <sheet name="Dashboar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G1000" i="2"/>
  <c r="B4" i="4" s="1"/>
  <c r="Q1000" i="2"/>
  <c r="T438" i="2"/>
  <c r="T462" i="2"/>
  <c r="S172" i="2"/>
  <c r="T172" i="2" s="1"/>
  <c r="S531" i="2"/>
  <c r="T531" i="2" s="1"/>
  <c r="S582" i="2"/>
  <c r="T582" i="2" s="1"/>
  <c r="S795" i="2"/>
  <c r="T795" i="2" s="1"/>
  <c r="S808" i="2"/>
  <c r="T808" i="2" s="1"/>
  <c r="R2" i="2"/>
  <c r="S2" i="2" s="1"/>
  <c r="T2" i="2" s="1"/>
  <c r="R3" i="2"/>
  <c r="S3" i="2" s="1"/>
  <c r="T3" i="2" s="1"/>
  <c r="R4" i="2"/>
  <c r="S4" i="2" s="1"/>
  <c r="T4" i="2" s="1"/>
  <c r="R5" i="2"/>
  <c r="S5" i="2" s="1"/>
  <c r="T5" i="2" s="1"/>
  <c r="R6" i="2"/>
  <c r="S6" i="2" s="1"/>
  <c r="T6" i="2" s="1"/>
  <c r="R7" i="2"/>
  <c r="S7" i="2" s="1"/>
  <c r="T7" i="2" s="1"/>
  <c r="R8" i="2"/>
  <c r="S8" i="2" s="1"/>
  <c r="T8" i="2" s="1"/>
  <c r="R9" i="2"/>
  <c r="S9" i="2" s="1"/>
  <c r="T9" i="2" s="1"/>
  <c r="R10" i="2"/>
  <c r="S10" i="2" s="1"/>
  <c r="T10" i="2" s="1"/>
  <c r="R11" i="2"/>
  <c r="S11" i="2" s="1"/>
  <c r="T11" i="2" s="1"/>
  <c r="R12" i="2"/>
  <c r="S12" i="2" s="1"/>
  <c r="T12" i="2" s="1"/>
  <c r="R13" i="2"/>
  <c r="S13" i="2" s="1"/>
  <c r="T13" i="2" s="1"/>
  <c r="R14" i="2"/>
  <c r="S14" i="2" s="1"/>
  <c r="T14" i="2" s="1"/>
  <c r="R15" i="2"/>
  <c r="S15" i="2" s="1"/>
  <c r="T15" i="2" s="1"/>
  <c r="R16" i="2"/>
  <c r="S16" i="2" s="1"/>
  <c r="T16" i="2" s="1"/>
  <c r="R17" i="2"/>
  <c r="S17" i="2" s="1"/>
  <c r="T17" i="2" s="1"/>
  <c r="R18" i="2"/>
  <c r="S18" i="2" s="1"/>
  <c r="T18" i="2" s="1"/>
  <c r="R19" i="2"/>
  <c r="S19" i="2" s="1"/>
  <c r="T19" i="2" s="1"/>
  <c r="R20" i="2"/>
  <c r="S20" i="2" s="1"/>
  <c r="T20" i="2" s="1"/>
  <c r="R21" i="2"/>
  <c r="S21" i="2" s="1"/>
  <c r="T21" i="2" s="1"/>
  <c r="R22" i="2"/>
  <c r="S22" i="2" s="1"/>
  <c r="T22" i="2" s="1"/>
  <c r="R23" i="2"/>
  <c r="S23" i="2" s="1"/>
  <c r="T23" i="2" s="1"/>
  <c r="R24" i="2"/>
  <c r="S24" i="2" s="1"/>
  <c r="T24" i="2" s="1"/>
  <c r="R25" i="2"/>
  <c r="S25" i="2" s="1"/>
  <c r="T25" i="2" s="1"/>
  <c r="R26" i="2"/>
  <c r="S26" i="2" s="1"/>
  <c r="T26" i="2" s="1"/>
  <c r="R27" i="2"/>
  <c r="S27" i="2" s="1"/>
  <c r="T27" i="2" s="1"/>
  <c r="R28" i="2"/>
  <c r="S28" i="2" s="1"/>
  <c r="T28" i="2" s="1"/>
  <c r="R29" i="2"/>
  <c r="S29" i="2" s="1"/>
  <c r="T29" i="2" s="1"/>
  <c r="R30" i="2"/>
  <c r="S30" i="2" s="1"/>
  <c r="T30" i="2" s="1"/>
  <c r="R31" i="2"/>
  <c r="S31" i="2" s="1"/>
  <c r="T31" i="2" s="1"/>
  <c r="R32" i="2"/>
  <c r="S32" i="2" s="1"/>
  <c r="T32" i="2" s="1"/>
  <c r="R33" i="2"/>
  <c r="S33" i="2" s="1"/>
  <c r="T33" i="2" s="1"/>
  <c r="R34" i="2"/>
  <c r="S34" i="2" s="1"/>
  <c r="T34" i="2" s="1"/>
  <c r="R35" i="2"/>
  <c r="S35" i="2" s="1"/>
  <c r="T35" i="2" s="1"/>
  <c r="R36" i="2"/>
  <c r="S36" i="2" s="1"/>
  <c r="T36" i="2" s="1"/>
  <c r="R37" i="2"/>
  <c r="S37" i="2" s="1"/>
  <c r="T37" i="2" s="1"/>
  <c r="R38" i="2"/>
  <c r="S38" i="2" s="1"/>
  <c r="T38" i="2" s="1"/>
  <c r="R39" i="2"/>
  <c r="S39" i="2" s="1"/>
  <c r="T39" i="2" s="1"/>
  <c r="R40" i="2"/>
  <c r="S40" i="2" s="1"/>
  <c r="T40" i="2" s="1"/>
  <c r="R41" i="2"/>
  <c r="S41" i="2" s="1"/>
  <c r="T41" i="2" s="1"/>
  <c r="R42" i="2"/>
  <c r="S42" i="2" s="1"/>
  <c r="T42" i="2" s="1"/>
  <c r="R43" i="2"/>
  <c r="S43" i="2" s="1"/>
  <c r="T43" i="2" s="1"/>
  <c r="R44" i="2"/>
  <c r="S44" i="2" s="1"/>
  <c r="T44" i="2" s="1"/>
  <c r="R45" i="2"/>
  <c r="S45" i="2" s="1"/>
  <c r="T45" i="2" s="1"/>
  <c r="R46" i="2"/>
  <c r="S46" i="2" s="1"/>
  <c r="T46" i="2" s="1"/>
  <c r="R47" i="2"/>
  <c r="S47" i="2" s="1"/>
  <c r="T47" i="2" s="1"/>
  <c r="R48" i="2"/>
  <c r="S48" i="2" s="1"/>
  <c r="T48" i="2" s="1"/>
  <c r="R49" i="2"/>
  <c r="S49" i="2" s="1"/>
  <c r="T49" i="2" s="1"/>
  <c r="R50" i="2"/>
  <c r="S50" i="2" s="1"/>
  <c r="T50" i="2" s="1"/>
  <c r="R51" i="2"/>
  <c r="S51" i="2" s="1"/>
  <c r="T51" i="2" s="1"/>
  <c r="R52" i="2"/>
  <c r="S52" i="2" s="1"/>
  <c r="T52" i="2" s="1"/>
  <c r="R53" i="2"/>
  <c r="S53" i="2" s="1"/>
  <c r="T53" i="2" s="1"/>
  <c r="R54" i="2"/>
  <c r="S54" i="2" s="1"/>
  <c r="T54" i="2" s="1"/>
  <c r="R55" i="2"/>
  <c r="S55" i="2" s="1"/>
  <c r="T55" i="2" s="1"/>
  <c r="R56" i="2"/>
  <c r="S56" i="2" s="1"/>
  <c r="T56" i="2" s="1"/>
  <c r="R57" i="2"/>
  <c r="S57" i="2" s="1"/>
  <c r="T57" i="2" s="1"/>
  <c r="R58" i="2"/>
  <c r="S58" i="2" s="1"/>
  <c r="T58" i="2" s="1"/>
  <c r="R59" i="2"/>
  <c r="S59" i="2" s="1"/>
  <c r="T59" i="2" s="1"/>
  <c r="R60" i="2"/>
  <c r="S60" i="2" s="1"/>
  <c r="T60" i="2" s="1"/>
  <c r="R61" i="2"/>
  <c r="S61" i="2" s="1"/>
  <c r="T61" i="2" s="1"/>
  <c r="R62" i="2"/>
  <c r="S62" i="2" s="1"/>
  <c r="T62" i="2" s="1"/>
  <c r="R63" i="2"/>
  <c r="S63" i="2" s="1"/>
  <c r="T63" i="2" s="1"/>
  <c r="R64" i="2"/>
  <c r="S64" i="2" s="1"/>
  <c r="T64" i="2" s="1"/>
  <c r="R65" i="2"/>
  <c r="S65" i="2" s="1"/>
  <c r="T65" i="2" s="1"/>
  <c r="R66" i="2"/>
  <c r="S66" i="2" s="1"/>
  <c r="T66" i="2" s="1"/>
  <c r="R67" i="2"/>
  <c r="S67" i="2" s="1"/>
  <c r="T67" i="2" s="1"/>
  <c r="R68" i="2"/>
  <c r="S68" i="2" s="1"/>
  <c r="T68" i="2" s="1"/>
  <c r="R69" i="2"/>
  <c r="S69" i="2" s="1"/>
  <c r="T69" i="2" s="1"/>
  <c r="R70" i="2"/>
  <c r="S70" i="2" s="1"/>
  <c r="T70" i="2" s="1"/>
  <c r="R71" i="2"/>
  <c r="S71" i="2" s="1"/>
  <c r="T71" i="2" s="1"/>
  <c r="R72" i="2"/>
  <c r="S72" i="2" s="1"/>
  <c r="T72" i="2" s="1"/>
  <c r="R73" i="2"/>
  <c r="S73" i="2" s="1"/>
  <c r="T73" i="2" s="1"/>
  <c r="R74" i="2"/>
  <c r="S74" i="2" s="1"/>
  <c r="T74" i="2" s="1"/>
  <c r="R75" i="2"/>
  <c r="S75" i="2" s="1"/>
  <c r="T75" i="2" s="1"/>
  <c r="R76" i="2"/>
  <c r="S76" i="2" s="1"/>
  <c r="T76" i="2" s="1"/>
  <c r="R77" i="2"/>
  <c r="S77" i="2" s="1"/>
  <c r="T77" i="2" s="1"/>
  <c r="R78" i="2"/>
  <c r="S78" i="2" s="1"/>
  <c r="T78" i="2" s="1"/>
  <c r="R79" i="2"/>
  <c r="S79" i="2" s="1"/>
  <c r="T79" i="2" s="1"/>
  <c r="R80" i="2"/>
  <c r="S80" i="2" s="1"/>
  <c r="T80" i="2" s="1"/>
  <c r="R81" i="2"/>
  <c r="S81" i="2" s="1"/>
  <c r="T81" i="2" s="1"/>
  <c r="R82" i="2"/>
  <c r="S82" i="2" s="1"/>
  <c r="T82" i="2" s="1"/>
  <c r="R83" i="2"/>
  <c r="S83" i="2" s="1"/>
  <c r="T83" i="2" s="1"/>
  <c r="R84" i="2"/>
  <c r="S84" i="2" s="1"/>
  <c r="T84" i="2" s="1"/>
  <c r="R85" i="2"/>
  <c r="S85" i="2" s="1"/>
  <c r="T85" i="2" s="1"/>
  <c r="R86" i="2"/>
  <c r="S86" i="2" s="1"/>
  <c r="T86" i="2" s="1"/>
  <c r="R87" i="2"/>
  <c r="S87" i="2" s="1"/>
  <c r="T87" i="2" s="1"/>
  <c r="R88" i="2"/>
  <c r="S88" i="2" s="1"/>
  <c r="T88" i="2" s="1"/>
  <c r="R89" i="2"/>
  <c r="S89" i="2" s="1"/>
  <c r="T89" i="2" s="1"/>
  <c r="R90" i="2"/>
  <c r="S90" i="2" s="1"/>
  <c r="T90" i="2" s="1"/>
  <c r="R91" i="2"/>
  <c r="S91" i="2" s="1"/>
  <c r="T91" i="2" s="1"/>
  <c r="R92" i="2"/>
  <c r="S92" i="2" s="1"/>
  <c r="T92" i="2" s="1"/>
  <c r="R93" i="2"/>
  <c r="S93" i="2" s="1"/>
  <c r="T93" i="2" s="1"/>
  <c r="R94" i="2"/>
  <c r="S94" i="2" s="1"/>
  <c r="T94" i="2" s="1"/>
  <c r="R95" i="2"/>
  <c r="S95" i="2" s="1"/>
  <c r="T95" i="2" s="1"/>
  <c r="R96" i="2"/>
  <c r="S96" i="2" s="1"/>
  <c r="T96" i="2" s="1"/>
  <c r="R97" i="2"/>
  <c r="S97" i="2" s="1"/>
  <c r="T97" i="2" s="1"/>
  <c r="R98" i="2"/>
  <c r="S98" i="2" s="1"/>
  <c r="T98" i="2" s="1"/>
  <c r="R99" i="2"/>
  <c r="S99" i="2" s="1"/>
  <c r="T99" i="2" s="1"/>
  <c r="R100" i="2"/>
  <c r="S100" i="2" s="1"/>
  <c r="T100" i="2" s="1"/>
  <c r="R101" i="2"/>
  <c r="S101" i="2" s="1"/>
  <c r="T101" i="2" s="1"/>
  <c r="R102" i="2"/>
  <c r="S102" i="2" s="1"/>
  <c r="T102" i="2" s="1"/>
  <c r="R103" i="2"/>
  <c r="S103" i="2" s="1"/>
  <c r="T103" i="2" s="1"/>
  <c r="R104" i="2"/>
  <c r="S104" i="2" s="1"/>
  <c r="T104" i="2" s="1"/>
  <c r="R105" i="2"/>
  <c r="S105" i="2" s="1"/>
  <c r="T105" i="2" s="1"/>
  <c r="R106" i="2"/>
  <c r="S106" i="2" s="1"/>
  <c r="T106" i="2" s="1"/>
  <c r="R107" i="2"/>
  <c r="S107" i="2" s="1"/>
  <c r="T107" i="2" s="1"/>
  <c r="R108" i="2"/>
  <c r="S108" i="2" s="1"/>
  <c r="T108" i="2" s="1"/>
  <c r="R109" i="2"/>
  <c r="S109" i="2" s="1"/>
  <c r="T109" i="2" s="1"/>
  <c r="R110" i="2"/>
  <c r="S110" i="2" s="1"/>
  <c r="T110" i="2" s="1"/>
  <c r="R111" i="2"/>
  <c r="S111" i="2" s="1"/>
  <c r="T111" i="2" s="1"/>
  <c r="R112" i="2"/>
  <c r="S112" i="2" s="1"/>
  <c r="T112" i="2" s="1"/>
  <c r="R113" i="2"/>
  <c r="S113" i="2" s="1"/>
  <c r="T113" i="2" s="1"/>
  <c r="R114" i="2"/>
  <c r="S114" i="2" s="1"/>
  <c r="T114" i="2" s="1"/>
  <c r="R115" i="2"/>
  <c r="S115" i="2" s="1"/>
  <c r="T115" i="2" s="1"/>
  <c r="R116" i="2"/>
  <c r="S116" i="2" s="1"/>
  <c r="T116" i="2" s="1"/>
  <c r="R117" i="2"/>
  <c r="S117" i="2" s="1"/>
  <c r="T117" i="2" s="1"/>
  <c r="R118" i="2"/>
  <c r="S118" i="2" s="1"/>
  <c r="T118" i="2" s="1"/>
  <c r="R119" i="2"/>
  <c r="S119" i="2" s="1"/>
  <c r="T119" i="2" s="1"/>
  <c r="R120" i="2"/>
  <c r="S120" i="2" s="1"/>
  <c r="T120" i="2" s="1"/>
  <c r="R121" i="2"/>
  <c r="S121" i="2" s="1"/>
  <c r="T121" i="2" s="1"/>
  <c r="R122" i="2"/>
  <c r="S122" i="2" s="1"/>
  <c r="T122" i="2" s="1"/>
  <c r="R123" i="2"/>
  <c r="S123" i="2" s="1"/>
  <c r="T123" i="2" s="1"/>
  <c r="R124" i="2"/>
  <c r="S124" i="2" s="1"/>
  <c r="T124" i="2" s="1"/>
  <c r="R125" i="2"/>
  <c r="S125" i="2" s="1"/>
  <c r="T125" i="2" s="1"/>
  <c r="R126" i="2"/>
  <c r="S126" i="2" s="1"/>
  <c r="T126" i="2" s="1"/>
  <c r="R127" i="2"/>
  <c r="S127" i="2" s="1"/>
  <c r="T127" i="2" s="1"/>
  <c r="R128" i="2"/>
  <c r="S128" i="2" s="1"/>
  <c r="T128" i="2" s="1"/>
  <c r="R129" i="2"/>
  <c r="S129" i="2" s="1"/>
  <c r="T129" i="2" s="1"/>
  <c r="R130" i="2"/>
  <c r="S130" i="2" s="1"/>
  <c r="T130" i="2" s="1"/>
  <c r="R131" i="2"/>
  <c r="S131" i="2" s="1"/>
  <c r="T131" i="2" s="1"/>
  <c r="R132" i="2"/>
  <c r="S132" i="2" s="1"/>
  <c r="T132" i="2" s="1"/>
  <c r="R133" i="2"/>
  <c r="S133" i="2" s="1"/>
  <c r="T133" i="2" s="1"/>
  <c r="R134" i="2"/>
  <c r="S134" i="2" s="1"/>
  <c r="T134" i="2" s="1"/>
  <c r="R135" i="2"/>
  <c r="S135" i="2" s="1"/>
  <c r="T135" i="2" s="1"/>
  <c r="R136" i="2"/>
  <c r="S136" i="2" s="1"/>
  <c r="T136" i="2" s="1"/>
  <c r="R137" i="2"/>
  <c r="S137" i="2" s="1"/>
  <c r="T137" i="2" s="1"/>
  <c r="R138" i="2"/>
  <c r="S138" i="2" s="1"/>
  <c r="T138" i="2" s="1"/>
  <c r="R139" i="2"/>
  <c r="S139" i="2" s="1"/>
  <c r="T139" i="2" s="1"/>
  <c r="R140" i="2"/>
  <c r="S140" i="2" s="1"/>
  <c r="T140" i="2" s="1"/>
  <c r="R141" i="2"/>
  <c r="S141" i="2" s="1"/>
  <c r="T141" i="2" s="1"/>
  <c r="R142" i="2"/>
  <c r="S142" i="2" s="1"/>
  <c r="T142" i="2" s="1"/>
  <c r="R143" i="2"/>
  <c r="S143" i="2" s="1"/>
  <c r="T143" i="2" s="1"/>
  <c r="R144" i="2"/>
  <c r="S144" i="2" s="1"/>
  <c r="T144" i="2" s="1"/>
  <c r="R145" i="2"/>
  <c r="S145" i="2" s="1"/>
  <c r="T145" i="2" s="1"/>
  <c r="R146" i="2"/>
  <c r="S146" i="2" s="1"/>
  <c r="T146" i="2" s="1"/>
  <c r="R147" i="2"/>
  <c r="S147" i="2" s="1"/>
  <c r="T147" i="2" s="1"/>
  <c r="R148" i="2"/>
  <c r="S148" i="2" s="1"/>
  <c r="T148" i="2" s="1"/>
  <c r="R149" i="2"/>
  <c r="S149" i="2" s="1"/>
  <c r="T149" i="2" s="1"/>
  <c r="R150" i="2"/>
  <c r="S150" i="2" s="1"/>
  <c r="T150" i="2" s="1"/>
  <c r="R151" i="2"/>
  <c r="S151" i="2" s="1"/>
  <c r="T151" i="2" s="1"/>
  <c r="R152" i="2"/>
  <c r="S152" i="2" s="1"/>
  <c r="T152" i="2" s="1"/>
  <c r="R153" i="2"/>
  <c r="S153" i="2" s="1"/>
  <c r="T153" i="2" s="1"/>
  <c r="R154" i="2"/>
  <c r="S154" i="2" s="1"/>
  <c r="T154" i="2" s="1"/>
  <c r="R155" i="2"/>
  <c r="S155" i="2" s="1"/>
  <c r="T155" i="2" s="1"/>
  <c r="R156" i="2"/>
  <c r="S156" i="2" s="1"/>
  <c r="T156" i="2" s="1"/>
  <c r="R157" i="2"/>
  <c r="S157" i="2" s="1"/>
  <c r="T157" i="2" s="1"/>
  <c r="R158" i="2"/>
  <c r="S158" i="2" s="1"/>
  <c r="T158" i="2" s="1"/>
  <c r="R159" i="2"/>
  <c r="S159" i="2" s="1"/>
  <c r="T159" i="2" s="1"/>
  <c r="R160" i="2"/>
  <c r="S160" i="2" s="1"/>
  <c r="T160" i="2" s="1"/>
  <c r="R161" i="2"/>
  <c r="S161" i="2" s="1"/>
  <c r="T161" i="2" s="1"/>
  <c r="R162" i="2"/>
  <c r="S162" i="2" s="1"/>
  <c r="T162" i="2" s="1"/>
  <c r="R163" i="2"/>
  <c r="S163" i="2" s="1"/>
  <c r="T163" i="2" s="1"/>
  <c r="R164" i="2"/>
  <c r="S164" i="2" s="1"/>
  <c r="T164" i="2" s="1"/>
  <c r="R165" i="2"/>
  <c r="S165" i="2" s="1"/>
  <c r="T165" i="2" s="1"/>
  <c r="R166" i="2"/>
  <c r="S166" i="2" s="1"/>
  <c r="T166" i="2" s="1"/>
  <c r="R167" i="2"/>
  <c r="S167" i="2" s="1"/>
  <c r="T167" i="2" s="1"/>
  <c r="R168" i="2"/>
  <c r="S168" i="2" s="1"/>
  <c r="T168" i="2" s="1"/>
  <c r="R169" i="2"/>
  <c r="S169" i="2" s="1"/>
  <c r="T169" i="2" s="1"/>
  <c r="R170" i="2"/>
  <c r="S170" i="2" s="1"/>
  <c r="T170" i="2" s="1"/>
  <c r="R171" i="2"/>
  <c r="S171" i="2" s="1"/>
  <c r="T171" i="2" s="1"/>
  <c r="R172" i="2"/>
  <c r="R173" i="2"/>
  <c r="S173" i="2" s="1"/>
  <c r="T173" i="2" s="1"/>
  <c r="R174" i="2"/>
  <c r="S174" i="2" s="1"/>
  <c r="T174" i="2" s="1"/>
  <c r="R175" i="2"/>
  <c r="S175" i="2" s="1"/>
  <c r="T175" i="2" s="1"/>
  <c r="R176" i="2"/>
  <c r="S176" i="2" s="1"/>
  <c r="T176" i="2" s="1"/>
  <c r="R177" i="2"/>
  <c r="S177" i="2" s="1"/>
  <c r="T177" i="2" s="1"/>
  <c r="R178" i="2"/>
  <c r="S178" i="2" s="1"/>
  <c r="T178" i="2" s="1"/>
  <c r="R179" i="2"/>
  <c r="S179" i="2" s="1"/>
  <c r="T179" i="2" s="1"/>
  <c r="R180" i="2"/>
  <c r="S180" i="2" s="1"/>
  <c r="T180" i="2" s="1"/>
  <c r="R181" i="2"/>
  <c r="S181" i="2" s="1"/>
  <c r="T181" i="2" s="1"/>
  <c r="R182" i="2"/>
  <c r="S182" i="2" s="1"/>
  <c r="T182" i="2" s="1"/>
  <c r="R183" i="2"/>
  <c r="S183" i="2" s="1"/>
  <c r="T183" i="2" s="1"/>
  <c r="R184" i="2"/>
  <c r="S184" i="2" s="1"/>
  <c r="T184" i="2" s="1"/>
  <c r="R185" i="2"/>
  <c r="S185" i="2" s="1"/>
  <c r="T185" i="2" s="1"/>
  <c r="R186" i="2"/>
  <c r="S186" i="2" s="1"/>
  <c r="T186" i="2" s="1"/>
  <c r="R187" i="2"/>
  <c r="S187" i="2" s="1"/>
  <c r="T187" i="2" s="1"/>
  <c r="R188" i="2"/>
  <c r="S188" i="2" s="1"/>
  <c r="T188" i="2" s="1"/>
  <c r="R189" i="2"/>
  <c r="S189" i="2" s="1"/>
  <c r="T189" i="2" s="1"/>
  <c r="R190" i="2"/>
  <c r="S190" i="2" s="1"/>
  <c r="T190" i="2" s="1"/>
  <c r="R191" i="2"/>
  <c r="S191" i="2" s="1"/>
  <c r="T191" i="2" s="1"/>
  <c r="R192" i="2"/>
  <c r="S192" i="2" s="1"/>
  <c r="T192" i="2" s="1"/>
  <c r="R193" i="2"/>
  <c r="S193" i="2" s="1"/>
  <c r="T193" i="2" s="1"/>
  <c r="R194" i="2"/>
  <c r="S194" i="2" s="1"/>
  <c r="T194" i="2" s="1"/>
  <c r="R195" i="2"/>
  <c r="S195" i="2" s="1"/>
  <c r="T195" i="2" s="1"/>
  <c r="R196" i="2"/>
  <c r="S196" i="2" s="1"/>
  <c r="T196" i="2" s="1"/>
  <c r="R197" i="2"/>
  <c r="S197" i="2" s="1"/>
  <c r="T197" i="2" s="1"/>
  <c r="R198" i="2"/>
  <c r="S198" i="2" s="1"/>
  <c r="T198" i="2" s="1"/>
  <c r="R199" i="2"/>
  <c r="S199" i="2" s="1"/>
  <c r="T199" i="2" s="1"/>
  <c r="R200" i="2"/>
  <c r="S200" i="2" s="1"/>
  <c r="T200" i="2" s="1"/>
  <c r="R201" i="2"/>
  <c r="S201" i="2" s="1"/>
  <c r="T201" i="2" s="1"/>
  <c r="R202" i="2"/>
  <c r="S202" i="2" s="1"/>
  <c r="T202" i="2" s="1"/>
  <c r="R203" i="2"/>
  <c r="S203" i="2" s="1"/>
  <c r="T203" i="2" s="1"/>
  <c r="R204" i="2"/>
  <c r="S204" i="2" s="1"/>
  <c r="T204" i="2" s="1"/>
  <c r="R205" i="2"/>
  <c r="S205" i="2" s="1"/>
  <c r="T205" i="2" s="1"/>
  <c r="R206" i="2"/>
  <c r="S206" i="2" s="1"/>
  <c r="T206" i="2" s="1"/>
  <c r="R207" i="2"/>
  <c r="S207" i="2" s="1"/>
  <c r="T207" i="2" s="1"/>
  <c r="R208" i="2"/>
  <c r="S208" i="2" s="1"/>
  <c r="T208" i="2" s="1"/>
  <c r="R209" i="2"/>
  <c r="S209" i="2" s="1"/>
  <c r="T209" i="2" s="1"/>
  <c r="R210" i="2"/>
  <c r="S210" i="2" s="1"/>
  <c r="T210" i="2" s="1"/>
  <c r="R211" i="2"/>
  <c r="S211" i="2" s="1"/>
  <c r="T211" i="2" s="1"/>
  <c r="R212" i="2"/>
  <c r="S212" i="2" s="1"/>
  <c r="T212" i="2" s="1"/>
  <c r="R213" i="2"/>
  <c r="S213" i="2" s="1"/>
  <c r="T213" i="2" s="1"/>
  <c r="R214" i="2"/>
  <c r="S214" i="2" s="1"/>
  <c r="T214" i="2" s="1"/>
  <c r="R215" i="2"/>
  <c r="S215" i="2" s="1"/>
  <c r="T215" i="2" s="1"/>
  <c r="R216" i="2"/>
  <c r="S216" i="2" s="1"/>
  <c r="T216" i="2" s="1"/>
  <c r="R217" i="2"/>
  <c r="S217" i="2" s="1"/>
  <c r="T217" i="2" s="1"/>
  <c r="R218" i="2"/>
  <c r="S218" i="2" s="1"/>
  <c r="T218" i="2" s="1"/>
  <c r="R219" i="2"/>
  <c r="S219" i="2" s="1"/>
  <c r="T219" i="2" s="1"/>
  <c r="R220" i="2"/>
  <c r="S220" i="2" s="1"/>
  <c r="T220" i="2" s="1"/>
  <c r="R221" i="2"/>
  <c r="S221" i="2" s="1"/>
  <c r="T221" i="2" s="1"/>
  <c r="R222" i="2"/>
  <c r="S222" i="2" s="1"/>
  <c r="T222" i="2" s="1"/>
  <c r="R223" i="2"/>
  <c r="S223" i="2" s="1"/>
  <c r="T223" i="2" s="1"/>
  <c r="R224" i="2"/>
  <c r="S224" i="2" s="1"/>
  <c r="T224" i="2" s="1"/>
  <c r="R225" i="2"/>
  <c r="S225" i="2" s="1"/>
  <c r="T225" i="2" s="1"/>
  <c r="R226" i="2"/>
  <c r="S226" i="2" s="1"/>
  <c r="T226" i="2" s="1"/>
  <c r="R227" i="2"/>
  <c r="S227" i="2" s="1"/>
  <c r="T227" i="2" s="1"/>
  <c r="R228" i="2"/>
  <c r="S228" i="2" s="1"/>
  <c r="T228" i="2" s="1"/>
  <c r="R229" i="2"/>
  <c r="S229" i="2" s="1"/>
  <c r="T229" i="2" s="1"/>
  <c r="R230" i="2"/>
  <c r="S230" i="2" s="1"/>
  <c r="T230" i="2" s="1"/>
  <c r="R231" i="2"/>
  <c r="S231" i="2" s="1"/>
  <c r="T231" i="2" s="1"/>
  <c r="R232" i="2"/>
  <c r="S232" i="2" s="1"/>
  <c r="T232" i="2" s="1"/>
  <c r="R233" i="2"/>
  <c r="S233" i="2" s="1"/>
  <c r="T233" i="2" s="1"/>
  <c r="R234" i="2"/>
  <c r="S234" i="2" s="1"/>
  <c r="T234" i="2" s="1"/>
  <c r="R235" i="2"/>
  <c r="S235" i="2" s="1"/>
  <c r="T235" i="2" s="1"/>
  <c r="R236" i="2"/>
  <c r="S236" i="2" s="1"/>
  <c r="T236" i="2" s="1"/>
  <c r="R237" i="2"/>
  <c r="S237" i="2" s="1"/>
  <c r="T237" i="2" s="1"/>
  <c r="R238" i="2"/>
  <c r="S238" i="2" s="1"/>
  <c r="T238" i="2" s="1"/>
  <c r="R239" i="2"/>
  <c r="S239" i="2" s="1"/>
  <c r="T239" i="2" s="1"/>
  <c r="R240" i="2"/>
  <c r="S240" i="2" s="1"/>
  <c r="T240" i="2" s="1"/>
  <c r="R241" i="2"/>
  <c r="S241" i="2" s="1"/>
  <c r="T241" i="2" s="1"/>
  <c r="R242" i="2"/>
  <c r="S242" i="2" s="1"/>
  <c r="T242" i="2" s="1"/>
  <c r="R243" i="2"/>
  <c r="S243" i="2" s="1"/>
  <c r="T243" i="2" s="1"/>
  <c r="R244" i="2"/>
  <c r="S244" i="2" s="1"/>
  <c r="T244" i="2" s="1"/>
  <c r="R245" i="2"/>
  <c r="S245" i="2" s="1"/>
  <c r="T245" i="2" s="1"/>
  <c r="R246" i="2"/>
  <c r="S246" i="2" s="1"/>
  <c r="T246" i="2" s="1"/>
  <c r="R247" i="2"/>
  <c r="S247" i="2" s="1"/>
  <c r="T247" i="2" s="1"/>
  <c r="R248" i="2"/>
  <c r="S248" i="2" s="1"/>
  <c r="T248" i="2" s="1"/>
  <c r="R249" i="2"/>
  <c r="S249" i="2" s="1"/>
  <c r="T249" i="2" s="1"/>
  <c r="R250" i="2"/>
  <c r="S250" i="2" s="1"/>
  <c r="T250" i="2" s="1"/>
  <c r="R251" i="2"/>
  <c r="S251" i="2" s="1"/>
  <c r="T251" i="2" s="1"/>
  <c r="R252" i="2"/>
  <c r="S252" i="2" s="1"/>
  <c r="T252" i="2" s="1"/>
  <c r="R253" i="2"/>
  <c r="S253" i="2" s="1"/>
  <c r="T253" i="2" s="1"/>
  <c r="R254" i="2"/>
  <c r="S254" i="2" s="1"/>
  <c r="T254" i="2" s="1"/>
  <c r="R255" i="2"/>
  <c r="S255" i="2" s="1"/>
  <c r="T255" i="2" s="1"/>
  <c r="R256" i="2"/>
  <c r="S256" i="2" s="1"/>
  <c r="T256" i="2" s="1"/>
  <c r="R257" i="2"/>
  <c r="S257" i="2" s="1"/>
  <c r="T257" i="2" s="1"/>
  <c r="R258" i="2"/>
  <c r="S258" i="2" s="1"/>
  <c r="T258" i="2" s="1"/>
  <c r="R259" i="2"/>
  <c r="S259" i="2" s="1"/>
  <c r="T259" i="2" s="1"/>
  <c r="R260" i="2"/>
  <c r="S260" i="2" s="1"/>
  <c r="T260" i="2" s="1"/>
  <c r="R261" i="2"/>
  <c r="S261" i="2" s="1"/>
  <c r="T261" i="2" s="1"/>
  <c r="R262" i="2"/>
  <c r="S262" i="2" s="1"/>
  <c r="T262" i="2" s="1"/>
  <c r="R263" i="2"/>
  <c r="S263" i="2" s="1"/>
  <c r="T263" i="2" s="1"/>
  <c r="R264" i="2"/>
  <c r="S264" i="2" s="1"/>
  <c r="T264" i="2" s="1"/>
  <c r="R265" i="2"/>
  <c r="S265" i="2" s="1"/>
  <c r="T265" i="2" s="1"/>
  <c r="R266" i="2"/>
  <c r="S266" i="2" s="1"/>
  <c r="T266" i="2" s="1"/>
  <c r="R267" i="2"/>
  <c r="S267" i="2" s="1"/>
  <c r="T267" i="2" s="1"/>
  <c r="R268" i="2"/>
  <c r="S268" i="2" s="1"/>
  <c r="T268" i="2" s="1"/>
  <c r="R269" i="2"/>
  <c r="S269" i="2" s="1"/>
  <c r="T269" i="2" s="1"/>
  <c r="R270" i="2"/>
  <c r="S270" i="2" s="1"/>
  <c r="T270" i="2" s="1"/>
  <c r="R271" i="2"/>
  <c r="S271" i="2" s="1"/>
  <c r="T271" i="2" s="1"/>
  <c r="R272" i="2"/>
  <c r="S272" i="2" s="1"/>
  <c r="T272" i="2" s="1"/>
  <c r="R273" i="2"/>
  <c r="S273" i="2" s="1"/>
  <c r="T273" i="2" s="1"/>
  <c r="R274" i="2"/>
  <c r="S274" i="2" s="1"/>
  <c r="T274" i="2" s="1"/>
  <c r="R275" i="2"/>
  <c r="S275" i="2" s="1"/>
  <c r="T275" i="2" s="1"/>
  <c r="R276" i="2"/>
  <c r="S276" i="2" s="1"/>
  <c r="T276" i="2" s="1"/>
  <c r="R277" i="2"/>
  <c r="S277" i="2" s="1"/>
  <c r="T277" i="2" s="1"/>
  <c r="R278" i="2"/>
  <c r="S278" i="2" s="1"/>
  <c r="T278" i="2" s="1"/>
  <c r="R279" i="2"/>
  <c r="S279" i="2" s="1"/>
  <c r="T279" i="2" s="1"/>
  <c r="R280" i="2"/>
  <c r="S280" i="2" s="1"/>
  <c r="T280" i="2" s="1"/>
  <c r="R281" i="2"/>
  <c r="S281" i="2" s="1"/>
  <c r="T281" i="2" s="1"/>
  <c r="R282" i="2"/>
  <c r="S282" i="2" s="1"/>
  <c r="T282" i="2" s="1"/>
  <c r="R283" i="2"/>
  <c r="S283" i="2" s="1"/>
  <c r="T283" i="2" s="1"/>
  <c r="R284" i="2"/>
  <c r="S284" i="2" s="1"/>
  <c r="T284" i="2" s="1"/>
  <c r="R285" i="2"/>
  <c r="S285" i="2" s="1"/>
  <c r="T285" i="2" s="1"/>
  <c r="R286" i="2"/>
  <c r="S286" i="2" s="1"/>
  <c r="T286" i="2" s="1"/>
  <c r="R287" i="2"/>
  <c r="S287" i="2" s="1"/>
  <c r="T287" i="2" s="1"/>
  <c r="R288" i="2"/>
  <c r="S288" i="2" s="1"/>
  <c r="T288" i="2" s="1"/>
  <c r="R289" i="2"/>
  <c r="S289" i="2" s="1"/>
  <c r="T289" i="2" s="1"/>
  <c r="R290" i="2"/>
  <c r="S290" i="2" s="1"/>
  <c r="T290" i="2" s="1"/>
  <c r="R291" i="2"/>
  <c r="S291" i="2" s="1"/>
  <c r="T291" i="2" s="1"/>
  <c r="R292" i="2"/>
  <c r="S292" i="2" s="1"/>
  <c r="T292" i="2" s="1"/>
  <c r="R293" i="2"/>
  <c r="S293" i="2" s="1"/>
  <c r="T293" i="2" s="1"/>
  <c r="R294" i="2"/>
  <c r="S294" i="2" s="1"/>
  <c r="T294" i="2" s="1"/>
  <c r="R295" i="2"/>
  <c r="S295" i="2" s="1"/>
  <c r="T295" i="2" s="1"/>
  <c r="R296" i="2"/>
  <c r="S296" i="2" s="1"/>
  <c r="T296" i="2" s="1"/>
  <c r="R297" i="2"/>
  <c r="S297" i="2" s="1"/>
  <c r="T297" i="2" s="1"/>
  <c r="R298" i="2"/>
  <c r="S298" i="2" s="1"/>
  <c r="T298" i="2" s="1"/>
  <c r="R299" i="2"/>
  <c r="S299" i="2" s="1"/>
  <c r="T299" i="2" s="1"/>
  <c r="R300" i="2"/>
  <c r="S300" i="2" s="1"/>
  <c r="T300" i="2" s="1"/>
  <c r="R301" i="2"/>
  <c r="S301" i="2" s="1"/>
  <c r="T301" i="2" s="1"/>
  <c r="R302" i="2"/>
  <c r="S302" i="2" s="1"/>
  <c r="T302" i="2" s="1"/>
  <c r="R303" i="2"/>
  <c r="S303" i="2" s="1"/>
  <c r="T303" i="2" s="1"/>
  <c r="R304" i="2"/>
  <c r="S304" i="2" s="1"/>
  <c r="T304" i="2" s="1"/>
  <c r="R305" i="2"/>
  <c r="S305" i="2" s="1"/>
  <c r="T305" i="2" s="1"/>
  <c r="R306" i="2"/>
  <c r="S306" i="2" s="1"/>
  <c r="T306" i="2" s="1"/>
  <c r="R307" i="2"/>
  <c r="S307" i="2" s="1"/>
  <c r="T307" i="2" s="1"/>
  <c r="R308" i="2"/>
  <c r="S308" i="2" s="1"/>
  <c r="T308" i="2" s="1"/>
  <c r="R309" i="2"/>
  <c r="S309" i="2" s="1"/>
  <c r="T309" i="2" s="1"/>
  <c r="R310" i="2"/>
  <c r="S310" i="2" s="1"/>
  <c r="T310" i="2" s="1"/>
  <c r="R311" i="2"/>
  <c r="S311" i="2" s="1"/>
  <c r="T311" i="2" s="1"/>
  <c r="R312" i="2"/>
  <c r="S312" i="2" s="1"/>
  <c r="T312" i="2" s="1"/>
  <c r="R313" i="2"/>
  <c r="S313" i="2" s="1"/>
  <c r="T313" i="2" s="1"/>
  <c r="R314" i="2"/>
  <c r="S314" i="2" s="1"/>
  <c r="T314" i="2" s="1"/>
  <c r="R315" i="2"/>
  <c r="S315" i="2" s="1"/>
  <c r="T315" i="2" s="1"/>
  <c r="R316" i="2"/>
  <c r="S316" i="2" s="1"/>
  <c r="T316" i="2" s="1"/>
  <c r="R317" i="2"/>
  <c r="S317" i="2" s="1"/>
  <c r="T317" i="2" s="1"/>
  <c r="R318" i="2"/>
  <c r="S318" i="2" s="1"/>
  <c r="T318" i="2" s="1"/>
  <c r="R319" i="2"/>
  <c r="S319" i="2" s="1"/>
  <c r="T319" i="2" s="1"/>
  <c r="R320" i="2"/>
  <c r="S320" i="2" s="1"/>
  <c r="T320" i="2" s="1"/>
  <c r="R321" i="2"/>
  <c r="S321" i="2" s="1"/>
  <c r="T321" i="2" s="1"/>
  <c r="R322" i="2"/>
  <c r="S322" i="2" s="1"/>
  <c r="T322" i="2" s="1"/>
  <c r="R323" i="2"/>
  <c r="S323" i="2" s="1"/>
  <c r="T323" i="2" s="1"/>
  <c r="R324" i="2"/>
  <c r="S324" i="2" s="1"/>
  <c r="T324" i="2" s="1"/>
  <c r="R325" i="2"/>
  <c r="S325" i="2" s="1"/>
  <c r="T325" i="2" s="1"/>
  <c r="R326" i="2"/>
  <c r="S326" i="2" s="1"/>
  <c r="T326" i="2" s="1"/>
  <c r="R327" i="2"/>
  <c r="S327" i="2" s="1"/>
  <c r="T327" i="2" s="1"/>
  <c r="R328" i="2"/>
  <c r="S328" i="2" s="1"/>
  <c r="T328" i="2" s="1"/>
  <c r="R329" i="2"/>
  <c r="S329" i="2" s="1"/>
  <c r="T329" i="2" s="1"/>
  <c r="R330" i="2"/>
  <c r="S330" i="2" s="1"/>
  <c r="T330" i="2" s="1"/>
  <c r="R331" i="2"/>
  <c r="S331" i="2" s="1"/>
  <c r="T331" i="2" s="1"/>
  <c r="R332" i="2"/>
  <c r="S332" i="2" s="1"/>
  <c r="T332" i="2" s="1"/>
  <c r="R333" i="2"/>
  <c r="S333" i="2" s="1"/>
  <c r="T333" i="2" s="1"/>
  <c r="R334" i="2"/>
  <c r="S334" i="2" s="1"/>
  <c r="T334" i="2" s="1"/>
  <c r="R335" i="2"/>
  <c r="S335" i="2" s="1"/>
  <c r="T335" i="2" s="1"/>
  <c r="R336" i="2"/>
  <c r="S336" i="2" s="1"/>
  <c r="T336" i="2" s="1"/>
  <c r="R337" i="2"/>
  <c r="S337" i="2" s="1"/>
  <c r="T337" i="2" s="1"/>
  <c r="R338" i="2"/>
  <c r="S338" i="2" s="1"/>
  <c r="T338" i="2" s="1"/>
  <c r="R339" i="2"/>
  <c r="S339" i="2" s="1"/>
  <c r="T339" i="2" s="1"/>
  <c r="R340" i="2"/>
  <c r="S340" i="2" s="1"/>
  <c r="T340" i="2" s="1"/>
  <c r="R341" i="2"/>
  <c r="S341" i="2" s="1"/>
  <c r="T341" i="2" s="1"/>
  <c r="R342" i="2"/>
  <c r="S342" i="2" s="1"/>
  <c r="T342" i="2" s="1"/>
  <c r="R343" i="2"/>
  <c r="S343" i="2" s="1"/>
  <c r="T343" i="2" s="1"/>
  <c r="R344" i="2"/>
  <c r="S344" i="2" s="1"/>
  <c r="T344" i="2" s="1"/>
  <c r="R345" i="2"/>
  <c r="S345" i="2" s="1"/>
  <c r="T345" i="2" s="1"/>
  <c r="R346" i="2"/>
  <c r="S346" i="2" s="1"/>
  <c r="T346" i="2" s="1"/>
  <c r="R347" i="2"/>
  <c r="S347" i="2" s="1"/>
  <c r="T347" i="2" s="1"/>
  <c r="R348" i="2"/>
  <c r="S348" i="2" s="1"/>
  <c r="T348" i="2" s="1"/>
  <c r="R349" i="2"/>
  <c r="S349" i="2" s="1"/>
  <c r="T349" i="2" s="1"/>
  <c r="R350" i="2"/>
  <c r="S350" i="2" s="1"/>
  <c r="T350" i="2" s="1"/>
  <c r="R351" i="2"/>
  <c r="S351" i="2" s="1"/>
  <c r="T351" i="2" s="1"/>
  <c r="R352" i="2"/>
  <c r="S352" i="2" s="1"/>
  <c r="T352" i="2" s="1"/>
  <c r="R353" i="2"/>
  <c r="S353" i="2" s="1"/>
  <c r="T353" i="2" s="1"/>
  <c r="R354" i="2"/>
  <c r="S354" i="2" s="1"/>
  <c r="T354" i="2" s="1"/>
  <c r="R355" i="2"/>
  <c r="S355" i="2" s="1"/>
  <c r="T355" i="2" s="1"/>
  <c r="R356" i="2"/>
  <c r="S356" i="2" s="1"/>
  <c r="T356" i="2" s="1"/>
  <c r="R357" i="2"/>
  <c r="S357" i="2" s="1"/>
  <c r="T357" i="2" s="1"/>
  <c r="R358" i="2"/>
  <c r="S358" i="2" s="1"/>
  <c r="T358" i="2" s="1"/>
  <c r="R359" i="2"/>
  <c r="S359" i="2" s="1"/>
  <c r="T359" i="2" s="1"/>
  <c r="R360" i="2"/>
  <c r="S360" i="2" s="1"/>
  <c r="T360" i="2" s="1"/>
  <c r="R361" i="2"/>
  <c r="S361" i="2" s="1"/>
  <c r="T361" i="2" s="1"/>
  <c r="R362" i="2"/>
  <c r="S362" i="2" s="1"/>
  <c r="T362" i="2" s="1"/>
  <c r="R363" i="2"/>
  <c r="S363" i="2" s="1"/>
  <c r="T363" i="2" s="1"/>
  <c r="R364" i="2"/>
  <c r="S364" i="2" s="1"/>
  <c r="T364" i="2" s="1"/>
  <c r="R365" i="2"/>
  <c r="S365" i="2" s="1"/>
  <c r="T365" i="2" s="1"/>
  <c r="R366" i="2"/>
  <c r="S366" i="2" s="1"/>
  <c r="T366" i="2" s="1"/>
  <c r="R367" i="2"/>
  <c r="S367" i="2" s="1"/>
  <c r="T367" i="2" s="1"/>
  <c r="R368" i="2"/>
  <c r="S368" i="2" s="1"/>
  <c r="T368" i="2" s="1"/>
  <c r="R369" i="2"/>
  <c r="S369" i="2" s="1"/>
  <c r="T369" i="2" s="1"/>
  <c r="R370" i="2"/>
  <c r="S370" i="2" s="1"/>
  <c r="T370" i="2" s="1"/>
  <c r="R371" i="2"/>
  <c r="S371" i="2" s="1"/>
  <c r="T371" i="2" s="1"/>
  <c r="R372" i="2"/>
  <c r="S372" i="2" s="1"/>
  <c r="T372" i="2" s="1"/>
  <c r="R373" i="2"/>
  <c r="S373" i="2" s="1"/>
  <c r="T373" i="2" s="1"/>
  <c r="R374" i="2"/>
  <c r="S374" i="2" s="1"/>
  <c r="T374" i="2" s="1"/>
  <c r="R375" i="2"/>
  <c r="S375" i="2" s="1"/>
  <c r="T375" i="2" s="1"/>
  <c r="R376" i="2"/>
  <c r="S376" i="2" s="1"/>
  <c r="T376" i="2" s="1"/>
  <c r="R377" i="2"/>
  <c r="S377" i="2" s="1"/>
  <c r="T377" i="2" s="1"/>
  <c r="R378" i="2"/>
  <c r="S378" i="2" s="1"/>
  <c r="T378" i="2" s="1"/>
  <c r="R379" i="2"/>
  <c r="S379" i="2" s="1"/>
  <c r="T379" i="2" s="1"/>
  <c r="R380" i="2"/>
  <c r="S380" i="2" s="1"/>
  <c r="T380" i="2" s="1"/>
  <c r="R381" i="2"/>
  <c r="S381" i="2" s="1"/>
  <c r="T381" i="2" s="1"/>
  <c r="R382" i="2"/>
  <c r="S382" i="2" s="1"/>
  <c r="T382" i="2" s="1"/>
  <c r="R383" i="2"/>
  <c r="S383" i="2" s="1"/>
  <c r="T383" i="2" s="1"/>
  <c r="R384" i="2"/>
  <c r="S384" i="2" s="1"/>
  <c r="T384" i="2" s="1"/>
  <c r="R385" i="2"/>
  <c r="S385" i="2" s="1"/>
  <c r="T385" i="2" s="1"/>
  <c r="R386" i="2"/>
  <c r="S386" i="2" s="1"/>
  <c r="T386" i="2" s="1"/>
  <c r="R387" i="2"/>
  <c r="S387" i="2" s="1"/>
  <c r="T387" i="2" s="1"/>
  <c r="R388" i="2"/>
  <c r="S388" i="2" s="1"/>
  <c r="T388" i="2" s="1"/>
  <c r="R389" i="2"/>
  <c r="S389" i="2" s="1"/>
  <c r="T389" i="2" s="1"/>
  <c r="R390" i="2"/>
  <c r="S390" i="2" s="1"/>
  <c r="T390" i="2" s="1"/>
  <c r="R391" i="2"/>
  <c r="S391" i="2" s="1"/>
  <c r="T391" i="2" s="1"/>
  <c r="R392" i="2"/>
  <c r="S392" i="2" s="1"/>
  <c r="T392" i="2" s="1"/>
  <c r="R393" i="2"/>
  <c r="S393" i="2" s="1"/>
  <c r="T393" i="2" s="1"/>
  <c r="R394" i="2"/>
  <c r="S394" i="2" s="1"/>
  <c r="T394" i="2" s="1"/>
  <c r="R395" i="2"/>
  <c r="S395" i="2" s="1"/>
  <c r="T395" i="2" s="1"/>
  <c r="R396" i="2"/>
  <c r="S396" i="2" s="1"/>
  <c r="T396" i="2" s="1"/>
  <c r="R397" i="2"/>
  <c r="S397" i="2" s="1"/>
  <c r="T397" i="2" s="1"/>
  <c r="R398" i="2"/>
  <c r="S398" i="2" s="1"/>
  <c r="T398" i="2" s="1"/>
  <c r="R399" i="2"/>
  <c r="S399" i="2" s="1"/>
  <c r="T399" i="2" s="1"/>
  <c r="R400" i="2"/>
  <c r="S400" i="2" s="1"/>
  <c r="T400" i="2" s="1"/>
  <c r="R401" i="2"/>
  <c r="S401" i="2" s="1"/>
  <c r="T401" i="2" s="1"/>
  <c r="R402" i="2"/>
  <c r="S402" i="2" s="1"/>
  <c r="T402" i="2" s="1"/>
  <c r="R403" i="2"/>
  <c r="S403" i="2" s="1"/>
  <c r="T403" i="2" s="1"/>
  <c r="R404" i="2"/>
  <c r="S404" i="2" s="1"/>
  <c r="T404" i="2" s="1"/>
  <c r="R405" i="2"/>
  <c r="S405" i="2" s="1"/>
  <c r="T405" i="2" s="1"/>
  <c r="R406" i="2"/>
  <c r="S406" i="2" s="1"/>
  <c r="T406" i="2" s="1"/>
  <c r="R407" i="2"/>
  <c r="S407" i="2" s="1"/>
  <c r="T407" i="2" s="1"/>
  <c r="R408" i="2"/>
  <c r="S408" i="2" s="1"/>
  <c r="T408" i="2" s="1"/>
  <c r="R409" i="2"/>
  <c r="S409" i="2" s="1"/>
  <c r="T409" i="2" s="1"/>
  <c r="R410" i="2"/>
  <c r="S410" i="2" s="1"/>
  <c r="T410" i="2" s="1"/>
  <c r="R411" i="2"/>
  <c r="S411" i="2" s="1"/>
  <c r="T411" i="2" s="1"/>
  <c r="R412" i="2"/>
  <c r="S412" i="2" s="1"/>
  <c r="T412" i="2" s="1"/>
  <c r="R413" i="2"/>
  <c r="S413" i="2" s="1"/>
  <c r="T413" i="2" s="1"/>
  <c r="R414" i="2"/>
  <c r="S414" i="2" s="1"/>
  <c r="T414" i="2" s="1"/>
  <c r="R415" i="2"/>
  <c r="S415" i="2" s="1"/>
  <c r="T415" i="2" s="1"/>
  <c r="R416" i="2"/>
  <c r="S416" i="2" s="1"/>
  <c r="T416" i="2" s="1"/>
  <c r="R417" i="2"/>
  <c r="S417" i="2" s="1"/>
  <c r="T417" i="2" s="1"/>
  <c r="R418" i="2"/>
  <c r="S418" i="2" s="1"/>
  <c r="T418" i="2" s="1"/>
  <c r="R419" i="2"/>
  <c r="S419" i="2" s="1"/>
  <c r="T419" i="2" s="1"/>
  <c r="R420" i="2"/>
  <c r="S420" i="2" s="1"/>
  <c r="T420" i="2" s="1"/>
  <c r="R421" i="2"/>
  <c r="S421" i="2" s="1"/>
  <c r="T421" i="2" s="1"/>
  <c r="R422" i="2"/>
  <c r="S422" i="2" s="1"/>
  <c r="T422" i="2" s="1"/>
  <c r="R423" i="2"/>
  <c r="S423" i="2" s="1"/>
  <c r="T423" i="2" s="1"/>
  <c r="R424" i="2"/>
  <c r="S424" i="2" s="1"/>
  <c r="T424" i="2" s="1"/>
  <c r="R425" i="2"/>
  <c r="S425" i="2" s="1"/>
  <c r="T425" i="2" s="1"/>
  <c r="R426" i="2"/>
  <c r="S426" i="2" s="1"/>
  <c r="T426" i="2" s="1"/>
  <c r="R427" i="2"/>
  <c r="S427" i="2" s="1"/>
  <c r="T427" i="2" s="1"/>
  <c r="R428" i="2"/>
  <c r="S428" i="2" s="1"/>
  <c r="T428" i="2" s="1"/>
  <c r="R429" i="2"/>
  <c r="S429" i="2" s="1"/>
  <c r="T429" i="2" s="1"/>
  <c r="R430" i="2"/>
  <c r="S430" i="2" s="1"/>
  <c r="T430" i="2" s="1"/>
  <c r="R431" i="2"/>
  <c r="S431" i="2" s="1"/>
  <c r="T431" i="2" s="1"/>
  <c r="R432" i="2"/>
  <c r="S432" i="2" s="1"/>
  <c r="T432" i="2" s="1"/>
  <c r="R433" i="2"/>
  <c r="S433" i="2" s="1"/>
  <c r="T433" i="2" s="1"/>
  <c r="R434" i="2"/>
  <c r="S434" i="2" s="1"/>
  <c r="T434" i="2" s="1"/>
  <c r="R435" i="2"/>
  <c r="S435" i="2" s="1"/>
  <c r="T435" i="2" s="1"/>
  <c r="R436" i="2"/>
  <c r="S436" i="2" s="1"/>
  <c r="T436" i="2" s="1"/>
  <c r="R437" i="2"/>
  <c r="S437" i="2" s="1"/>
  <c r="T437" i="2" s="1"/>
  <c r="R438" i="2"/>
  <c r="S438" i="2" s="1"/>
  <c r="R439" i="2"/>
  <c r="S439" i="2" s="1"/>
  <c r="T439" i="2" s="1"/>
  <c r="R440" i="2"/>
  <c r="S440" i="2" s="1"/>
  <c r="T440" i="2" s="1"/>
  <c r="R441" i="2"/>
  <c r="S441" i="2" s="1"/>
  <c r="T441" i="2" s="1"/>
  <c r="R442" i="2"/>
  <c r="S442" i="2" s="1"/>
  <c r="T442" i="2" s="1"/>
  <c r="R443" i="2"/>
  <c r="S443" i="2" s="1"/>
  <c r="T443" i="2" s="1"/>
  <c r="R444" i="2"/>
  <c r="S444" i="2" s="1"/>
  <c r="T444" i="2" s="1"/>
  <c r="R445" i="2"/>
  <c r="S445" i="2" s="1"/>
  <c r="T445" i="2" s="1"/>
  <c r="R446" i="2"/>
  <c r="S446" i="2" s="1"/>
  <c r="T446" i="2" s="1"/>
  <c r="R447" i="2"/>
  <c r="S447" i="2" s="1"/>
  <c r="T447" i="2" s="1"/>
  <c r="R448" i="2"/>
  <c r="S448" i="2" s="1"/>
  <c r="T448" i="2" s="1"/>
  <c r="R449" i="2"/>
  <c r="S449" i="2" s="1"/>
  <c r="T449" i="2" s="1"/>
  <c r="R450" i="2"/>
  <c r="S450" i="2" s="1"/>
  <c r="T450" i="2" s="1"/>
  <c r="R451" i="2"/>
  <c r="S451" i="2" s="1"/>
  <c r="T451" i="2" s="1"/>
  <c r="R452" i="2"/>
  <c r="S452" i="2" s="1"/>
  <c r="T452" i="2" s="1"/>
  <c r="R453" i="2"/>
  <c r="S453" i="2" s="1"/>
  <c r="T453" i="2" s="1"/>
  <c r="R454" i="2"/>
  <c r="S454" i="2" s="1"/>
  <c r="T454" i="2" s="1"/>
  <c r="R455" i="2"/>
  <c r="S455" i="2" s="1"/>
  <c r="T455" i="2" s="1"/>
  <c r="R456" i="2"/>
  <c r="S456" i="2" s="1"/>
  <c r="T456" i="2" s="1"/>
  <c r="R457" i="2"/>
  <c r="S457" i="2" s="1"/>
  <c r="T457" i="2" s="1"/>
  <c r="R458" i="2"/>
  <c r="S458" i="2" s="1"/>
  <c r="T458" i="2" s="1"/>
  <c r="R459" i="2"/>
  <c r="S459" i="2" s="1"/>
  <c r="T459" i="2" s="1"/>
  <c r="R460" i="2"/>
  <c r="S460" i="2" s="1"/>
  <c r="T460" i="2" s="1"/>
  <c r="R461" i="2"/>
  <c r="S461" i="2" s="1"/>
  <c r="T461" i="2" s="1"/>
  <c r="R462" i="2"/>
  <c r="S462" i="2" s="1"/>
  <c r="R463" i="2"/>
  <c r="S463" i="2" s="1"/>
  <c r="T463" i="2" s="1"/>
  <c r="R464" i="2"/>
  <c r="S464" i="2" s="1"/>
  <c r="T464" i="2" s="1"/>
  <c r="R465" i="2"/>
  <c r="S465" i="2" s="1"/>
  <c r="T465" i="2" s="1"/>
  <c r="R466" i="2"/>
  <c r="S466" i="2" s="1"/>
  <c r="T466" i="2" s="1"/>
  <c r="R467" i="2"/>
  <c r="S467" i="2" s="1"/>
  <c r="T467" i="2" s="1"/>
  <c r="R468" i="2"/>
  <c r="S468" i="2" s="1"/>
  <c r="T468" i="2" s="1"/>
  <c r="R469" i="2"/>
  <c r="S469" i="2" s="1"/>
  <c r="T469" i="2" s="1"/>
  <c r="R470" i="2"/>
  <c r="S470" i="2" s="1"/>
  <c r="T470" i="2" s="1"/>
  <c r="R471" i="2"/>
  <c r="S471" i="2" s="1"/>
  <c r="T471" i="2" s="1"/>
  <c r="R472" i="2"/>
  <c r="S472" i="2" s="1"/>
  <c r="T472" i="2" s="1"/>
  <c r="R473" i="2"/>
  <c r="S473" i="2" s="1"/>
  <c r="T473" i="2" s="1"/>
  <c r="R474" i="2"/>
  <c r="S474" i="2" s="1"/>
  <c r="T474" i="2" s="1"/>
  <c r="R475" i="2"/>
  <c r="S475" i="2" s="1"/>
  <c r="T475" i="2" s="1"/>
  <c r="R476" i="2"/>
  <c r="S476" i="2" s="1"/>
  <c r="T476" i="2" s="1"/>
  <c r="R477" i="2"/>
  <c r="S477" i="2" s="1"/>
  <c r="T477" i="2" s="1"/>
  <c r="R478" i="2"/>
  <c r="S478" i="2" s="1"/>
  <c r="T478" i="2" s="1"/>
  <c r="R479" i="2"/>
  <c r="S479" i="2" s="1"/>
  <c r="T479" i="2" s="1"/>
  <c r="R480" i="2"/>
  <c r="S480" i="2" s="1"/>
  <c r="T480" i="2" s="1"/>
  <c r="R481" i="2"/>
  <c r="S481" i="2" s="1"/>
  <c r="T481" i="2" s="1"/>
  <c r="R482" i="2"/>
  <c r="S482" i="2" s="1"/>
  <c r="T482" i="2" s="1"/>
  <c r="R483" i="2"/>
  <c r="S483" i="2" s="1"/>
  <c r="T483" i="2" s="1"/>
  <c r="R484" i="2"/>
  <c r="S484" i="2" s="1"/>
  <c r="T484" i="2" s="1"/>
  <c r="R485" i="2"/>
  <c r="S485" i="2" s="1"/>
  <c r="T485" i="2" s="1"/>
  <c r="R486" i="2"/>
  <c r="S486" i="2" s="1"/>
  <c r="T486" i="2" s="1"/>
  <c r="R487" i="2"/>
  <c r="S487" i="2" s="1"/>
  <c r="T487" i="2" s="1"/>
  <c r="R488" i="2"/>
  <c r="S488" i="2" s="1"/>
  <c r="T488" i="2" s="1"/>
  <c r="R489" i="2"/>
  <c r="S489" i="2" s="1"/>
  <c r="T489" i="2" s="1"/>
  <c r="R490" i="2"/>
  <c r="S490" i="2" s="1"/>
  <c r="T490" i="2" s="1"/>
  <c r="R491" i="2"/>
  <c r="S491" i="2" s="1"/>
  <c r="T491" i="2" s="1"/>
  <c r="R492" i="2"/>
  <c r="S492" i="2" s="1"/>
  <c r="T492" i="2" s="1"/>
  <c r="R493" i="2"/>
  <c r="S493" i="2" s="1"/>
  <c r="T493" i="2" s="1"/>
  <c r="R494" i="2"/>
  <c r="S494" i="2" s="1"/>
  <c r="T494" i="2" s="1"/>
  <c r="R495" i="2"/>
  <c r="S495" i="2" s="1"/>
  <c r="T495" i="2" s="1"/>
  <c r="R496" i="2"/>
  <c r="S496" i="2" s="1"/>
  <c r="T496" i="2" s="1"/>
  <c r="R497" i="2"/>
  <c r="S497" i="2" s="1"/>
  <c r="T497" i="2" s="1"/>
  <c r="R498" i="2"/>
  <c r="S498" i="2" s="1"/>
  <c r="T498" i="2" s="1"/>
  <c r="R499" i="2"/>
  <c r="S499" i="2" s="1"/>
  <c r="T499" i="2" s="1"/>
  <c r="R500" i="2"/>
  <c r="S500" i="2" s="1"/>
  <c r="T500" i="2" s="1"/>
  <c r="R501" i="2"/>
  <c r="S501" i="2" s="1"/>
  <c r="T501" i="2" s="1"/>
  <c r="R502" i="2"/>
  <c r="S502" i="2" s="1"/>
  <c r="T502" i="2" s="1"/>
  <c r="R503" i="2"/>
  <c r="S503" i="2" s="1"/>
  <c r="T503" i="2" s="1"/>
  <c r="R504" i="2"/>
  <c r="S504" i="2" s="1"/>
  <c r="T504" i="2" s="1"/>
  <c r="R505" i="2"/>
  <c r="S505" i="2" s="1"/>
  <c r="T505" i="2" s="1"/>
  <c r="R506" i="2"/>
  <c r="S506" i="2" s="1"/>
  <c r="T506" i="2" s="1"/>
  <c r="R507" i="2"/>
  <c r="S507" i="2" s="1"/>
  <c r="T507" i="2" s="1"/>
  <c r="R508" i="2"/>
  <c r="S508" i="2" s="1"/>
  <c r="T508" i="2" s="1"/>
  <c r="R509" i="2"/>
  <c r="S509" i="2" s="1"/>
  <c r="T509" i="2" s="1"/>
  <c r="R510" i="2"/>
  <c r="S510" i="2" s="1"/>
  <c r="T510" i="2" s="1"/>
  <c r="R511" i="2"/>
  <c r="S511" i="2" s="1"/>
  <c r="T511" i="2" s="1"/>
  <c r="R512" i="2"/>
  <c r="S512" i="2" s="1"/>
  <c r="T512" i="2" s="1"/>
  <c r="R513" i="2"/>
  <c r="S513" i="2" s="1"/>
  <c r="T513" i="2" s="1"/>
  <c r="R514" i="2"/>
  <c r="S514" i="2" s="1"/>
  <c r="T514" i="2" s="1"/>
  <c r="R515" i="2"/>
  <c r="S515" i="2" s="1"/>
  <c r="T515" i="2" s="1"/>
  <c r="R516" i="2"/>
  <c r="S516" i="2" s="1"/>
  <c r="T516" i="2" s="1"/>
  <c r="R517" i="2"/>
  <c r="S517" i="2" s="1"/>
  <c r="T517" i="2" s="1"/>
  <c r="R518" i="2"/>
  <c r="S518" i="2" s="1"/>
  <c r="T518" i="2" s="1"/>
  <c r="R519" i="2"/>
  <c r="S519" i="2" s="1"/>
  <c r="T519" i="2" s="1"/>
  <c r="R520" i="2"/>
  <c r="S520" i="2" s="1"/>
  <c r="T520" i="2" s="1"/>
  <c r="R521" i="2"/>
  <c r="S521" i="2" s="1"/>
  <c r="T521" i="2" s="1"/>
  <c r="R522" i="2"/>
  <c r="S522" i="2" s="1"/>
  <c r="T522" i="2" s="1"/>
  <c r="R523" i="2"/>
  <c r="S523" i="2" s="1"/>
  <c r="T523" i="2" s="1"/>
  <c r="R524" i="2"/>
  <c r="S524" i="2" s="1"/>
  <c r="T524" i="2" s="1"/>
  <c r="R525" i="2"/>
  <c r="S525" i="2" s="1"/>
  <c r="T525" i="2" s="1"/>
  <c r="R526" i="2"/>
  <c r="S526" i="2" s="1"/>
  <c r="T526" i="2" s="1"/>
  <c r="R527" i="2"/>
  <c r="S527" i="2" s="1"/>
  <c r="T527" i="2" s="1"/>
  <c r="R528" i="2"/>
  <c r="S528" i="2" s="1"/>
  <c r="T528" i="2" s="1"/>
  <c r="R529" i="2"/>
  <c r="S529" i="2" s="1"/>
  <c r="T529" i="2" s="1"/>
  <c r="R530" i="2"/>
  <c r="S530" i="2" s="1"/>
  <c r="T530" i="2" s="1"/>
  <c r="R531" i="2"/>
  <c r="R532" i="2"/>
  <c r="S532" i="2" s="1"/>
  <c r="T532" i="2" s="1"/>
  <c r="R533" i="2"/>
  <c r="S533" i="2" s="1"/>
  <c r="T533" i="2" s="1"/>
  <c r="R534" i="2"/>
  <c r="S534" i="2" s="1"/>
  <c r="T534" i="2" s="1"/>
  <c r="R535" i="2"/>
  <c r="S535" i="2" s="1"/>
  <c r="T535" i="2" s="1"/>
  <c r="R536" i="2"/>
  <c r="S536" i="2" s="1"/>
  <c r="T536" i="2" s="1"/>
  <c r="R537" i="2"/>
  <c r="S537" i="2" s="1"/>
  <c r="T537" i="2" s="1"/>
  <c r="R538" i="2"/>
  <c r="S538" i="2" s="1"/>
  <c r="T538" i="2" s="1"/>
  <c r="R539" i="2"/>
  <c r="S539" i="2" s="1"/>
  <c r="T539" i="2" s="1"/>
  <c r="R540" i="2"/>
  <c r="S540" i="2" s="1"/>
  <c r="T540" i="2" s="1"/>
  <c r="R541" i="2"/>
  <c r="S541" i="2" s="1"/>
  <c r="T541" i="2" s="1"/>
  <c r="R542" i="2"/>
  <c r="S542" i="2" s="1"/>
  <c r="T542" i="2" s="1"/>
  <c r="R543" i="2"/>
  <c r="S543" i="2" s="1"/>
  <c r="T543" i="2" s="1"/>
  <c r="R544" i="2"/>
  <c r="S544" i="2" s="1"/>
  <c r="T544" i="2" s="1"/>
  <c r="R545" i="2"/>
  <c r="S545" i="2" s="1"/>
  <c r="T545" i="2" s="1"/>
  <c r="R546" i="2"/>
  <c r="S546" i="2" s="1"/>
  <c r="T546" i="2" s="1"/>
  <c r="R547" i="2"/>
  <c r="S547" i="2" s="1"/>
  <c r="T547" i="2" s="1"/>
  <c r="R548" i="2"/>
  <c r="S548" i="2" s="1"/>
  <c r="T548" i="2" s="1"/>
  <c r="R549" i="2"/>
  <c r="S549" i="2" s="1"/>
  <c r="T549" i="2" s="1"/>
  <c r="R550" i="2"/>
  <c r="S550" i="2" s="1"/>
  <c r="T550" i="2" s="1"/>
  <c r="R551" i="2"/>
  <c r="S551" i="2" s="1"/>
  <c r="T551" i="2" s="1"/>
  <c r="R552" i="2"/>
  <c r="S552" i="2" s="1"/>
  <c r="T552" i="2" s="1"/>
  <c r="R553" i="2"/>
  <c r="S553" i="2" s="1"/>
  <c r="T553" i="2" s="1"/>
  <c r="R554" i="2"/>
  <c r="S554" i="2" s="1"/>
  <c r="T554" i="2" s="1"/>
  <c r="R555" i="2"/>
  <c r="S555" i="2" s="1"/>
  <c r="T555" i="2" s="1"/>
  <c r="R556" i="2"/>
  <c r="S556" i="2" s="1"/>
  <c r="T556" i="2" s="1"/>
  <c r="R557" i="2"/>
  <c r="S557" i="2" s="1"/>
  <c r="T557" i="2" s="1"/>
  <c r="R558" i="2"/>
  <c r="S558" i="2" s="1"/>
  <c r="T558" i="2" s="1"/>
  <c r="R559" i="2"/>
  <c r="S559" i="2" s="1"/>
  <c r="T559" i="2" s="1"/>
  <c r="R560" i="2"/>
  <c r="S560" i="2" s="1"/>
  <c r="T560" i="2" s="1"/>
  <c r="R561" i="2"/>
  <c r="S561" i="2" s="1"/>
  <c r="T561" i="2" s="1"/>
  <c r="R562" i="2"/>
  <c r="S562" i="2" s="1"/>
  <c r="T562" i="2" s="1"/>
  <c r="R563" i="2"/>
  <c r="S563" i="2" s="1"/>
  <c r="T563" i="2" s="1"/>
  <c r="R564" i="2"/>
  <c r="S564" i="2" s="1"/>
  <c r="T564" i="2" s="1"/>
  <c r="R565" i="2"/>
  <c r="S565" i="2" s="1"/>
  <c r="T565" i="2" s="1"/>
  <c r="R566" i="2"/>
  <c r="S566" i="2" s="1"/>
  <c r="T566" i="2" s="1"/>
  <c r="R567" i="2"/>
  <c r="S567" i="2" s="1"/>
  <c r="T567" i="2" s="1"/>
  <c r="R568" i="2"/>
  <c r="S568" i="2" s="1"/>
  <c r="T568" i="2" s="1"/>
  <c r="R569" i="2"/>
  <c r="S569" i="2" s="1"/>
  <c r="T569" i="2" s="1"/>
  <c r="R570" i="2"/>
  <c r="S570" i="2" s="1"/>
  <c r="T570" i="2" s="1"/>
  <c r="R571" i="2"/>
  <c r="S571" i="2" s="1"/>
  <c r="T571" i="2" s="1"/>
  <c r="R572" i="2"/>
  <c r="S572" i="2" s="1"/>
  <c r="T572" i="2" s="1"/>
  <c r="R573" i="2"/>
  <c r="S573" i="2" s="1"/>
  <c r="T573" i="2" s="1"/>
  <c r="R574" i="2"/>
  <c r="S574" i="2" s="1"/>
  <c r="T574" i="2" s="1"/>
  <c r="R575" i="2"/>
  <c r="S575" i="2" s="1"/>
  <c r="T575" i="2" s="1"/>
  <c r="R576" i="2"/>
  <c r="S576" i="2" s="1"/>
  <c r="T576" i="2" s="1"/>
  <c r="R577" i="2"/>
  <c r="S577" i="2" s="1"/>
  <c r="T577" i="2" s="1"/>
  <c r="R578" i="2"/>
  <c r="S578" i="2" s="1"/>
  <c r="T578" i="2" s="1"/>
  <c r="R579" i="2"/>
  <c r="S579" i="2" s="1"/>
  <c r="T579" i="2" s="1"/>
  <c r="R580" i="2"/>
  <c r="S580" i="2" s="1"/>
  <c r="T580" i="2" s="1"/>
  <c r="R581" i="2"/>
  <c r="S581" i="2" s="1"/>
  <c r="T581" i="2" s="1"/>
  <c r="R582" i="2"/>
  <c r="R583" i="2"/>
  <c r="S583" i="2" s="1"/>
  <c r="T583" i="2" s="1"/>
  <c r="R584" i="2"/>
  <c r="S584" i="2" s="1"/>
  <c r="T584" i="2" s="1"/>
  <c r="R585" i="2"/>
  <c r="S585" i="2" s="1"/>
  <c r="T585" i="2" s="1"/>
  <c r="R586" i="2"/>
  <c r="S586" i="2" s="1"/>
  <c r="T586" i="2" s="1"/>
  <c r="R587" i="2"/>
  <c r="S587" i="2" s="1"/>
  <c r="T587" i="2" s="1"/>
  <c r="R588" i="2"/>
  <c r="S588" i="2" s="1"/>
  <c r="T588" i="2" s="1"/>
  <c r="R589" i="2"/>
  <c r="S589" i="2" s="1"/>
  <c r="T589" i="2" s="1"/>
  <c r="R590" i="2"/>
  <c r="S590" i="2" s="1"/>
  <c r="T590" i="2" s="1"/>
  <c r="R591" i="2"/>
  <c r="S591" i="2" s="1"/>
  <c r="T591" i="2" s="1"/>
  <c r="R592" i="2"/>
  <c r="S592" i="2" s="1"/>
  <c r="T592" i="2" s="1"/>
  <c r="R593" i="2"/>
  <c r="S593" i="2" s="1"/>
  <c r="T593" i="2" s="1"/>
  <c r="R594" i="2"/>
  <c r="S594" i="2" s="1"/>
  <c r="T594" i="2" s="1"/>
  <c r="R595" i="2"/>
  <c r="S595" i="2" s="1"/>
  <c r="T595" i="2" s="1"/>
  <c r="R596" i="2"/>
  <c r="S596" i="2" s="1"/>
  <c r="T596" i="2" s="1"/>
  <c r="R597" i="2"/>
  <c r="S597" i="2" s="1"/>
  <c r="T597" i="2" s="1"/>
  <c r="R598" i="2"/>
  <c r="S598" i="2" s="1"/>
  <c r="T598" i="2" s="1"/>
  <c r="R599" i="2"/>
  <c r="S599" i="2" s="1"/>
  <c r="T599" i="2" s="1"/>
  <c r="R600" i="2"/>
  <c r="S600" i="2" s="1"/>
  <c r="T600" i="2" s="1"/>
  <c r="R601" i="2"/>
  <c r="S601" i="2" s="1"/>
  <c r="T601" i="2" s="1"/>
  <c r="R602" i="2"/>
  <c r="S602" i="2" s="1"/>
  <c r="T602" i="2" s="1"/>
  <c r="R603" i="2"/>
  <c r="S603" i="2" s="1"/>
  <c r="T603" i="2" s="1"/>
  <c r="R604" i="2"/>
  <c r="S604" i="2" s="1"/>
  <c r="T604" i="2" s="1"/>
  <c r="R605" i="2"/>
  <c r="S605" i="2" s="1"/>
  <c r="T605" i="2" s="1"/>
  <c r="R606" i="2"/>
  <c r="S606" i="2" s="1"/>
  <c r="T606" i="2" s="1"/>
  <c r="R607" i="2"/>
  <c r="S607" i="2" s="1"/>
  <c r="T607" i="2" s="1"/>
  <c r="R608" i="2"/>
  <c r="S608" i="2" s="1"/>
  <c r="T608" i="2" s="1"/>
  <c r="R609" i="2"/>
  <c r="S609" i="2" s="1"/>
  <c r="T609" i="2" s="1"/>
  <c r="R610" i="2"/>
  <c r="S610" i="2" s="1"/>
  <c r="T610" i="2" s="1"/>
  <c r="R611" i="2"/>
  <c r="S611" i="2" s="1"/>
  <c r="T611" i="2" s="1"/>
  <c r="R612" i="2"/>
  <c r="S612" i="2" s="1"/>
  <c r="T612" i="2" s="1"/>
  <c r="R613" i="2"/>
  <c r="S613" i="2" s="1"/>
  <c r="T613" i="2" s="1"/>
  <c r="R614" i="2"/>
  <c r="S614" i="2" s="1"/>
  <c r="T614" i="2" s="1"/>
  <c r="R615" i="2"/>
  <c r="S615" i="2" s="1"/>
  <c r="T615" i="2" s="1"/>
  <c r="R616" i="2"/>
  <c r="S616" i="2" s="1"/>
  <c r="T616" i="2" s="1"/>
  <c r="R617" i="2"/>
  <c r="S617" i="2" s="1"/>
  <c r="T617" i="2" s="1"/>
  <c r="R618" i="2"/>
  <c r="S618" i="2" s="1"/>
  <c r="T618" i="2" s="1"/>
  <c r="R619" i="2"/>
  <c r="S619" i="2" s="1"/>
  <c r="T619" i="2" s="1"/>
  <c r="R620" i="2"/>
  <c r="S620" i="2" s="1"/>
  <c r="T620" i="2" s="1"/>
  <c r="R621" i="2"/>
  <c r="S621" i="2" s="1"/>
  <c r="T621" i="2" s="1"/>
  <c r="R622" i="2"/>
  <c r="S622" i="2" s="1"/>
  <c r="T622" i="2" s="1"/>
  <c r="R623" i="2"/>
  <c r="S623" i="2" s="1"/>
  <c r="T623" i="2" s="1"/>
  <c r="R624" i="2"/>
  <c r="S624" i="2" s="1"/>
  <c r="T624" i="2" s="1"/>
  <c r="R625" i="2"/>
  <c r="S625" i="2" s="1"/>
  <c r="T625" i="2" s="1"/>
  <c r="R626" i="2"/>
  <c r="S626" i="2" s="1"/>
  <c r="T626" i="2" s="1"/>
  <c r="R627" i="2"/>
  <c r="S627" i="2" s="1"/>
  <c r="T627" i="2" s="1"/>
  <c r="R628" i="2"/>
  <c r="S628" i="2" s="1"/>
  <c r="T628" i="2" s="1"/>
  <c r="R629" i="2"/>
  <c r="S629" i="2" s="1"/>
  <c r="T629" i="2" s="1"/>
  <c r="R630" i="2"/>
  <c r="S630" i="2" s="1"/>
  <c r="T630" i="2" s="1"/>
  <c r="R631" i="2"/>
  <c r="S631" i="2" s="1"/>
  <c r="T631" i="2" s="1"/>
  <c r="R632" i="2"/>
  <c r="S632" i="2" s="1"/>
  <c r="T632" i="2" s="1"/>
  <c r="R633" i="2"/>
  <c r="S633" i="2" s="1"/>
  <c r="T633" i="2" s="1"/>
  <c r="R634" i="2"/>
  <c r="S634" i="2" s="1"/>
  <c r="T634" i="2" s="1"/>
  <c r="R635" i="2"/>
  <c r="S635" i="2" s="1"/>
  <c r="T635" i="2" s="1"/>
  <c r="R636" i="2"/>
  <c r="S636" i="2" s="1"/>
  <c r="T636" i="2" s="1"/>
  <c r="R637" i="2"/>
  <c r="S637" i="2" s="1"/>
  <c r="T637" i="2" s="1"/>
  <c r="R638" i="2"/>
  <c r="S638" i="2" s="1"/>
  <c r="T638" i="2" s="1"/>
  <c r="R639" i="2"/>
  <c r="S639" i="2" s="1"/>
  <c r="T639" i="2" s="1"/>
  <c r="R640" i="2"/>
  <c r="S640" i="2" s="1"/>
  <c r="T640" i="2" s="1"/>
  <c r="R641" i="2"/>
  <c r="S641" i="2" s="1"/>
  <c r="T641" i="2" s="1"/>
  <c r="R642" i="2"/>
  <c r="S642" i="2" s="1"/>
  <c r="T642" i="2" s="1"/>
  <c r="R643" i="2"/>
  <c r="S643" i="2" s="1"/>
  <c r="T643" i="2" s="1"/>
  <c r="R644" i="2"/>
  <c r="S644" i="2" s="1"/>
  <c r="T644" i="2" s="1"/>
  <c r="R645" i="2"/>
  <c r="S645" i="2" s="1"/>
  <c r="T645" i="2" s="1"/>
  <c r="R646" i="2"/>
  <c r="S646" i="2" s="1"/>
  <c r="T646" i="2" s="1"/>
  <c r="R647" i="2"/>
  <c r="S647" i="2" s="1"/>
  <c r="T647" i="2" s="1"/>
  <c r="R648" i="2"/>
  <c r="S648" i="2" s="1"/>
  <c r="T648" i="2" s="1"/>
  <c r="R649" i="2"/>
  <c r="S649" i="2" s="1"/>
  <c r="T649" i="2" s="1"/>
  <c r="R650" i="2"/>
  <c r="S650" i="2" s="1"/>
  <c r="T650" i="2" s="1"/>
  <c r="R651" i="2"/>
  <c r="S651" i="2" s="1"/>
  <c r="T651" i="2" s="1"/>
  <c r="R652" i="2"/>
  <c r="S652" i="2" s="1"/>
  <c r="T652" i="2" s="1"/>
  <c r="R653" i="2"/>
  <c r="S653" i="2" s="1"/>
  <c r="T653" i="2" s="1"/>
  <c r="R654" i="2"/>
  <c r="S654" i="2" s="1"/>
  <c r="T654" i="2" s="1"/>
  <c r="R655" i="2"/>
  <c r="S655" i="2" s="1"/>
  <c r="T655" i="2" s="1"/>
  <c r="R656" i="2"/>
  <c r="S656" i="2" s="1"/>
  <c r="T656" i="2" s="1"/>
  <c r="R657" i="2"/>
  <c r="S657" i="2" s="1"/>
  <c r="T657" i="2" s="1"/>
  <c r="R658" i="2"/>
  <c r="S658" i="2" s="1"/>
  <c r="T658" i="2" s="1"/>
  <c r="R659" i="2"/>
  <c r="S659" i="2" s="1"/>
  <c r="T659" i="2" s="1"/>
  <c r="R660" i="2"/>
  <c r="S660" i="2" s="1"/>
  <c r="T660" i="2" s="1"/>
  <c r="R661" i="2"/>
  <c r="S661" i="2" s="1"/>
  <c r="T661" i="2" s="1"/>
  <c r="R662" i="2"/>
  <c r="S662" i="2" s="1"/>
  <c r="T662" i="2" s="1"/>
  <c r="R663" i="2"/>
  <c r="S663" i="2" s="1"/>
  <c r="T663" i="2" s="1"/>
  <c r="R664" i="2"/>
  <c r="S664" i="2" s="1"/>
  <c r="T664" i="2" s="1"/>
  <c r="R665" i="2"/>
  <c r="S665" i="2" s="1"/>
  <c r="T665" i="2" s="1"/>
  <c r="R666" i="2"/>
  <c r="S666" i="2" s="1"/>
  <c r="T666" i="2" s="1"/>
  <c r="R667" i="2"/>
  <c r="S667" i="2" s="1"/>
  <c r="T667" i="2" s="1"/>
  <c r="R668" i="2"/>
  <c r="S668" i="2" s="1"/>
  <c r="T668" i="2" s="1"/>
  <c r="R669" i="2"/>
  <c r="S669" i="2" s="1"/>
  <c r="T669" i="2" s="1"/>
  <c r="R670" i="2"/>
  <c r="S670" i="2" s="1"/>
  <c r="T670" i="2" s="1"/>
  <c r="R671" i="2"/>
  <c r="S671" i="2" s="1"/>
  <c r="T671" i="2" s="1"/>
  <c r="R672" i="2"/>
  <c r="S672" i="2" s="1"/>
  <c r="T672" i="2" s="1"/>
  <c r="R673" i="2"/>
  <c r="S673" i="2" s="1"/>
  <c r="T673" i="2" s="1"/>
  <c r="R674" i="2"/>
  <c r="S674" i="2" s="1"/>
  <c r="T674" i="2" s="1"/>
  <c r="R675" i="2"/>
  <c r="S675" i="2" s="1"/>
  <c r="T675" i="2" s="1"/>
  <c r="R676" i="2"/>
  <c r="S676" i="2" s="1"/>
  <c r="T676" i="2" s="1"/>
  <c r="R677" i="2"/>
  <c r="S677" i="2" s="1"/>
  <c r="T677" i="2" s="1"/>
  <c r="R678" i="2"/>
  <c r="S678" i="2" s="1"/>
  <c r="T678" i="2" s="1"/>
  <c r="R679" i="2"/>
  <c r="S679" i="2" s="1"/>
  <c r="T679" i="2" s="1"/>
  <c r="R680" i="2"/>
  <c r="S680" i="2" s="1"/>
  <c r="T680" i="2" s="1"/>
  <c r="R681" i="2"/>
  <c r="S681" i="2" s="1"/>
  <c r="T681" i="2" s="1"/>
  <c r="R682" i="2"/>
  <c r="S682" i="2" s="1"/>
  <c r="T682" i="2" s="1"/>
  <c r="R683" i="2"/>
  <c r="S683" i="2" s="1"/>
  <c r="T683" i="2" s="1"/>
  <c r="R684" i="2"/>
  <c r="S684" i="2" s="1"/>
  <c r="T684" i="2" s="1"/>
  <c r="R685" i="2"/>
  <c r="S685" i="2" s="1"/>
  <c r="T685" i="2" s="1"/>
  <c r="R686" i="2"/>
  <c r="S686" i="2" s="1"/>
  <c r="T686" i="2" s="1"/>
  <c r="R687" i="2"/>
  <c r="S687" i="2" s="1"/>
  <c r="T687" i="2" s="1"/>
  <c r="R688" i="2"/>
  <c r="S688" i="2" s="1"/>
  <c r="T688" i="2" s="1"/>
  <c r="R689" i="2"/>
  <c r="S689" i="2" s="1"/>
  <c r="T689" i="2" s="1"/>
  <c r="R690" i="2"/>
  <c r="S690" i="2" s="1"/>
  <c r="T690" i="2" s="1"/>
  <c r="R691" i="2"/>
  <c r="S691" i="2" s="1"/>
  <c r="T691" i="2" s="1"/>
  <c r="R692" i="2"/>
  <c r="S692" i="2" s="1"/>
  <c r="T692" i="2" s="1"/>
  <c r="R693" i="2"/>
  <c r="S693" i="2" s="1"/>
  <c r="T693" i="2" s="1"/>
  <c r="R694" i="2"/>
  <c r="S694" i="2" s="1"/>
  <c r="T694" i="2" s="1"/>
  <c r="R695" i="2"/>
  <c r="S695" i="2" s="1"/>
  <c r="T695" i="2" s="1"/>
  <c r="R696" i="2"/>
  <c r="S696" i="2" s="1"/>
  <c r="T696" i="2" s="1"/>
  <c r="R697" i="2"/>
  <c r="S697" i="2" s="1"/>
  <c r="T697" i="2" s="1"/>
  <c r="R698" i="2"/>
  <c r="S698" i="2" s="1"/>
  <c r="T698" i="2" s="1"/>
  <c r="R699" i="2"/>
  <c r="S699" i="2" s="1"/>
  <c r="T699" i="2" s="1"/>
  <c r="R700" i="2"/>
  <c r="S700" i="2" s="1"/>
  <c r="T700" i="2" s="1"/>
  <c r="R701" i="2"/>
  <c r="S701" i="2" s="1"/>
  <c r="T701" i="2" s="1"/>
  <c r="R702" i="2"/>
  <c r="S702" i="2" s="1"/>
  <c r="T702" i="2" s="1"/>
  <c r="R703" i="2"/>
  <c r="S703" i="2" s="1"/>
  <c r="T703" i="2" s="1"/>
  <c r="R704" i="2"/>
  <c r="S704" i="2" s="1"/>
  <c r="T704" i="2" s="1"/>
  <c r="R705" i="2"/>
  <c r="S705" i="2" s="1"/>
  <c r="T705" i="2" s="1"/>
  <c r="R706" i="2"/>
  <c r="S706" i="2" s="1"/>
  <c r="T706" i="2" s="1"/>
  <c r="R707" i="2"/>
  <c r="S707" i="2" s="1"/>
  <c r="T707" i="2" s="1"/>
  <c r="R708" i="2"/>
  <c r="S708" i="2" s="1"/>
  <c r="T708" i="2" s="1"/>
  <c r="R709" i="2"/>
  <c r="S709" i="2" s="1"/>
  <c r="T709" i="2" s="1"/>
  <c r="R710" i="2"/>
  <c r="S710" i="2" s="1"/>
  <c r="T710" i="2" s="1"/>
  <c r="R711" i="2"/>
  <c r="S711" i="2" s="1"/>
  <c r="T711" i="2" s="1"/>
  <c r="R712" i="2"/>
  <c r="S712" i="2" s="1"/>
  <c r="T712" i="2" s="1"/>
  <c r="R713" i="2"/>
  <c r="S713" i="2" s="1"/>
  <c r="T713" i="2" s="1"/>
  <c r="R714" i="2"/>
  <c r="S714" i="2" s="1"/>
  <c r="T714" i="2" s="1"/>
  <c r="R715" i="2"/>
  <c r="S715" i="2" s="1"/>
  <c r="T715" i="2" s="1"/>
  <c r="R716" i="2"/>
  <c r="S716" i="2" s="1"/>
  <c r="T716" i="2" s="1"/>
  <c r="R717" i="2"/>
  <c r="S717" i="2" s="1"/>
  <c r="T717" i="2" s="1"/>
  <c r="R718" i="2"/>
  <c r="S718" i="2" s="1"/>
  <c r="T718" i="2" s="1"/>
  <c r="R719" i="2"/>
  <c r="S719" i="2" s="1"/>
  <c r="T719" i="2" s="1"/>
  <c r="R720" i="2"/>
  <c r="S720" i="2" s="1"/>
  <c r="T720" i="2" s="1"/>
  <c r="R721" i="2"/>
  <c r="S721" i="2" s="1"/>
  <c r="T721" i="2" s="1"/>
  <c r="R722" i="2"/>
  <c r="S722" i="2" s="1"/>
  <c r="T722" i="2" s="1"/>
  <c r="R723" i="2"/>
  <c r="S723" i="2" s="1"/>
  <c r="T723" i="2" s="1"/>
  <c r="R724" i="2"/>
  <c r="S724" i="2" s="1"/>
  <c r="T724" i="2" s="1"/>
  <c r="R725" i="2"/>
  <c r="S725" i="2" s="1"/>
  <c r="T725" i="2" s="1"/>
  <c r="R726" i="2"/>
  <c r="S726" i="2" s="1"/>
  <c r="T726" i="2" s="1"/>
  <c r="R727" i="2"/>
  <c r="S727" i="2" s="1"/>
  <c r="T727" i="2" s="1"/>
  <c r="R728" i="2"/>
  <c r="S728" i="2" s="1"/>
  <c r="T728" i="2" s="1"/>
  <c r="R729" i="2"/>
  <c r="S729" i="2" s="1"/>
  <c r="T729" i="2" s="1"/>
  <c r="R730" i="2"/>
  <c r="S730" i="2" s="1"/>
  <c r="T730" i="2" s="1"/>
  <c r="R731" i="2"/>
  <c r="S731" i="2" s="1"/>
  <c r="T731" i="2" s="1"/>
  <c r="R732" i="2"/>
  <c r="S732" i="2" s="1"/>
  <c r="T732" i="2" s="1"/>
  <c r="R733" i="2"/>
  <c r="S733" i="2" s="1"/>
  <c r="T733" i="2" s="1"/>
  <c r="R734" i="2"/>
  <c r="S734" i="2" s="1"/>
  <c r="T734" i="2" s="1"/>
  <c r="R735" i="2"/>
  <c r="S735" i="2" s="1"/>
  <c r="T735" i="2" s="1"/>
  <c r="R736" i="2"/>
  <c r="S736" i="2" s="1"/>
  <c r="T736" i="2" s="1"/>
  <c r="R737" i="2"/>
  <c r="S737" i="2" s="1"/>
  <c r="T737" i="2" s="1"/>
  <c r="R738" i="2"/>
  <c r="S738" i="2" s="1"/>
  <c r="T738" i="2" s="1"/>
  <c r="R739" i="2"/>
  <c r="S739" i="2" s="1"/>
  <c r="T739" i="2" s="1"/>
  <c r="R740" i="2"/>
  <c r="S740" i="2" s="1"/>
  <c r="T740" i="2" s="1"/>
  <c r="R741" i="2"/>
  <c r="S741" i="2" s="1"/>
  <c r="T741" i="2" s="1"/>
  <c r="R742" i="2"/>
  <c r="S742" i="2" s="1"/>
  <c r="T742" i="2" s="1"/>
  <c r="R743" i="2"/>
  <c r="S743" i="2" s="1"/>
  <c r="T743" i="2" s="1"/>
  <c r="R744" i="2"/>
  <c r="S744" i="2" s="1"/>
  <c r="T744" i="2" s="1"/>
  <c r="R745" i="2"/>
  <c r="S745" i="2" s="1"/>
  <c r="T745" i="2" s="1"/>
  <c r="R746" i="2"/>
  <c r="S746" i="2" s="1"/>
  <c r="T746" i="2" s="1"/>
  <c r="R747" i="2"/>
  <c r="S747" i="2" s="1"/>
  <c r="T747" i="2" s="1"/>
  <c r="R748" i="2"/>
  <c r="S748" i="2" s="1"/>
  <c r="T748" i="2" s="1"/>
  <c r="R749" i="2"/>
  <c r="S749" i="2" s="1"/>
  <c r="T749" i="2" s="1"/>
  <c r="R750" i="2"/>
  <c r="S750" i="2" s="1"/>
  <c r="T750" i="2" s="1"/>
  <c r="R751" i="2"/>
  <c r="S751" i="2" s="1"/>
  <c r="T751" i="2" s="1"/>
  <c r="R752" i="2"/>
  <c r="S752" i="2" s="1"/>
  <c r="T752" i="2" s="1"/>
  <c r="R753" i="2"/>
  <c r="S753" i="2" s="1"/>
  <c r="T753" i="2" s="1"/>
  <c r="R754" i="2"/>
  <c r="S754" i="2" s="1"/>
  <c r="T754" i="2" s="1"/>
  <c r="R755" i="2"/>
  <c r="S755" i="2" s="1"/>
  <c r="T755" i="2" s="1"/>
  <c r="R756" i="2"/>
  <c r="S756" i="2" s="1"/>
  <c r="T756" i="2" s="1"/>
  <c r="R757" i="2"/>
  <c r="S757" i="2" s="1"/>
  <c r="T757" i="2" s="1"/>
  <c r="R758" i="2"/>
  <c r="S758" i="2" s="1"/>
  <c r="T758" i="2" s="1"/>
  <c r="R759" i="2"/>
  <c r="S759" i="2" s="1"/>
  <c r="T759" i="2" s="1"/>
  <c r="R760" i="2"/>
  <c r="S760" i="2" s="1"/>
  <c r="T760" i="2" s="1"/>
  <c r="R761" i="2"/>
  <c r="S761" i="2" s="1"/>
  <c r="T761" i="2" s="1"/>
  <c r="R762" i="2"/>
  <c r="S762" i="2" s="1"/>
  <c r="T762" i="2" s="1"/>
  <c r="R763" i="2"/>
  <c r="S763" i="2" s="1"/>
  <c r="T763" i="2" s="1"/>
  <c r="R764" i="2"/>
  <c r="S764" i="2" s="1"/>
  <c r="T764" i="2" s="1"/>
  <c r="R765" i="2"/>
  <c r="S765" i="2" s="1"/>
  <c r="T765" i="2" s="1"/>
  <c r="R766" i="2"/>
  <c r="S766" i="2" s="1"/>
  <c r="T766" i="2" s="1"/>
  <c r="R767" i="2"/>
  <c r="S767" i="2" s="1"/>
  <c r="T767" i="2" s="1"/>
  <c r="R768" i="2"/>
  <c r="S768" i="2" s="1"/>
  <c r="T768" i="2" s="1"/>
  <c r="R769" i="2"/>
  <c r="S769" i="2" s="1"/>
  <c r="T769" i="2" s="1"/>
  <c r="R770" i="2"/>
  <c r="S770" i="2" s="1"/>
  <c r="T770" i="2" s="1"/>
  <c r="R771" i="2"/>
  <c r="S771" i="2" s="1"/>
  <c r="T771" i="2" s="1"/>
  <c r="R772" i="2"/>
  <c r="S772" i="2" s="1"/>
  <c r="T772" i="2" s="1"/>
  <c r="R773" i="2"/>
  <c r="S773" i="2" s="1"/>
  <c r="T773" i="2" s="1"/>
  <c r="R774" i="2"/>
  <c r="S774" i="2" s="1"/>
  <c r="T774" i="2" s="1"/>
  <c r="R775" i="2"/>
  <c r="S775" i="2" s="1"/>
  <c r="T775" i="2" s="1"/>
  <c r="R776" i="2"/>
  <c r="S776" i="2" s="1"/>
  <c r="T776" i="2" s="1"/>
  <c r="R777" i="2"/>
  <c r="S777" i="2" s="1"/>
  <c r="T777" i="2" s="1"/>
  <c r="R778" i="2"/>
  <c r="S778" i="2" s="1"/>
  <c r="T778" i="2" s="1"/>
  <c r="R779" i="2"/>
  <c r="S779" i="2" s="1"/>
  <c r="T779" i="2" s="1"/>
  <c r="R780" i="2"/>
  <c r="S780" i="2" s="1"/>
  <c r="T780" i="2" s="1"/>
  <c r="R781" i="2"/>
  <c r="S781" i="2" s="1"/>
  <c r="T781" i="2" s="1"/>
  <c r="R782" i="2"/>
  <c r="S782" i="2" s="1"/>
  <c r="T782" i="2" s="1"/>
  <c r="R783" i="2"/>
  <c r="S783" i="2" s="1"/>
  <c r="T783" i="2" s="1"/>
  <c r="R784" i="2"/>
  <c r="S784" i="2" s="1"/>
  <c r="T784" i="2" s="1"/>
  <c r="R785" i="2"/>
  <c r="S785" i="2" s="1"/>
  <c r="T785" i="2" s="1"/>
  <c r="R786" i="2"/>
  <c r="S786" i="2" s="1"/>
  <c r="T786" i="2" s="1"/>
  <c r="R787" i="2"/>
  <c r="S787" i="2" s="1"/>
  <c r="T787" i="2" s="1"/>
  <c r="R788" i="2"/>
  <c r="S788" i="2" s="1"/>
  <c r="T788" i="2" s="1"/>
  <c r="R789" i="2"/>
  <c r="S789" i="2" s="1"/>
  <c r="T789" i="2" s="1"/>
  <c r="R790" i="2"/>
  <c r="S790" i="2" s="1"/>
  <c r="T790" i="2" s="1"/>
  <c r="R791" i="2"/>
  <c r="S791" i="2" s="1"/>
  <c r="T791" i="2" s="1"/>
  <c r="R792" i="2"/>
  <c r="S792" i="2" s="1"/>
  <c r="T792" i="2" s="1"/>
  <c r="R793" i="2"/>
  <c r="S793" i="2" s="1"/>
  <c r="T793" i="2" s="1"/>
  <c r="R794" i="2"/>
  <c r="S794" i="2" s="1"/>
  <c r="T794" i="2" s="1"/>
  <c r="R795" i="2"/>
  <c r="R796" i="2"/>
  <c r="S796" i="2" s="1"/>
  <c r="T796" i="2" s="1"/>
  <c r="R797" i="2"/>
  <c r="S797" i="2" s="1"/>
  <c r="T797" i="2" s="1"/>
  <c r="R798" i="2"/>
  <c r="S798" i="2" s="1"/>
  <c r="T798" i="2" s="1"/>
  <c r="R799" i="2"/>
  <c r="S799" i="2" s="1"/>
  <c r="T799" i="2" s="1"/>
  <c r="R800" i="2"/>
  <c r="S800" i="2" s="1"/>
  <c r="T800" i="2" s="1"/>
  <c r="R801" i="2"/>
  <c r="S801" i="2" s="1"/>
  <c r="T801" i="2" s="1"/>
  <c r="R802" i="2"/>
  <c r="S802" i="2" s="1"/>
  <c r="T802" i="2" s="1"/>
  <c r="R803" i="2"/>
  <c r="S803" i="2" s="1"/>
  <c r="T803" i="2" s="1"/>
  <c r="R804" i="2"/>
  <c r="S804" i="2" s="1"/>
  <c r="T804" i="2" s="1"/>
  <c r="R805" i="2"/>
  <c r="S805" i="2" s="1"/>
  <c r="T805" i="2" s="1"/>
  <c r="R806" i="2"/>
  <c r="S806" i="2" s="1"/>
  <c r="T806" i="2" s="1"/>
  <c r="R807" i="2"/>
  <c r="S807" i="2" s="1"/>
  <c r="T807" i="2" s="1"/>
  <c r="R808" i="2"/>
  <c r="R809" i="2"/>
  <c r="S809" i="2" s="1"/>
  <c r="T809" i="2" s="1"/>
  <c r="R810" i="2"/>
  <c r="S810" i="2" s="1"/>
  <c r="T810" i="2" s="1"/>
  <c r="R811" i="2"/>
  <c r="S811" i="2" s="1"/>
  <c r="T811" i="2" s="1"/>
  <c r="R812" i="2"/>
  <c r="S812" i="2" s="1"/>
  <c r="T812" i="2" s="1"/>
  <c r="R813" i="2"/>
  <c r="S813" i="2" s="1"/>
  <c r="T813" i="2" s="1"/>
  <c r="R814" i="2"/>
  <c r="S814" i="2" s="1"/>
  <c r="T814" i="2" s="1"/>
  <c r="R815" i="2"/>
  <c r="S815" i="2" s="1"/>
  <c r="T815" i="2" s="1"/>
  <c r="R816" i="2"/>
  <c r="S816" i="2" s="1"/>
  <c r="T816" i="2" s="1"/>
  <c r="R817" i="2"/>
  <c r="S817" i="2" s="1"/>
  <c r="T817" i="2" s="1"/>
  <c r="R818" i="2"/>
  <c r="S818" i="2" s="1"/>
  <c r="T818" i="2" s="1"/>
  <c r="R819" i="2"/>
  <c r="S819" i="2" s="1"/>
  <c r="T819" i="2" s="1"/>
  <c r="R820" i="2"/>
  <c r="S820" i="2" s="1"/>
  <c r="T820" i="2" s="1"/>
  <c r="R821" i="2"/>
  <c r="S821" i="2" s="1"/>
  <c r="T821" i="2" s="1"/>
  <c r="R822" i="2"/>
  <c r="S822" i="2" s="1"/>
  <c r="T822" i="2" s="1"/>
  <c r="R823" i="2"/>
  <c r="S823" i="2" s="1"/>
  <c r="T823" i="2" s="1"/>
  <c r="R824" i="2"/>
  <c r="S824" i="2" s="1"/>
  <c r="T824" i="2" s="1"/>
  <c r="R825" i="2"/>
  <c r="S825" i="2" s="1"/>
  <c r="T825" i="2" s="1"/>
  <c r="R826" i="2"/>
  <c r="S826" i="2" s="1"/>
  <c r="T826" i="2" s="1"/>
  <c r="R827" i="2"/>
  <c r="S827" i="2" s="1"/>
  <c r="T827" i="2" s="1"/>
  <c r="R828" i="2"/>
  <c r="S828" i="2" s="1"/>
  <c r="T828" i="2" s="1"/>
  <c r="R829" i="2"/>
  <c r="S829" i="2" s="1"/>
  <c r="T829" i="2" s="1"/>
  <c r="R830" i="2"/>
  <c r="S830" i="2" s="1"/>
  <c r="T830" i="2" s="1"/>
  <c r="R831" i="2"/>
  <c r="S831" i="2" s="1"/>
  <c r="T831" i="2" s="1"/>
  <c r="R832" i="2"/>
  <c r="S832" i="2" s="1"/>
  <c r="T832" i="2" s="1"/>
  <c r="R833" i="2"/>
  <c r="S833" i="2" s="1"/>
  <c r="T833" i="2" s="1"/>
  <c r="R834" i="2"/>
  <c r="S834" i="2" s="1"/>
  <c r="T834" i="2" s="1"/>
  <c r="R835" i="2"/>
  <c r="S835" i="2" s="1"/>
  <c r="T835" i="2" s="1"/>
  <c r="R836" i="2"/>
  <c r="S836" i="2" s="1"/>
  <c r="T836" i="2" s="1"/>
  <c r="R837" i="2"/>
  <c r="S837" i="2" s="1"/>
  <c r="T837" i="2" s="1"/>
  <c r="R838" i="2"/>
  <c r="S838" i="2" s="1"/>
  <c r="T838" i="2" s="1"/>
  <c r="R839" i="2"/>
  <c r="S839" i="2" s="1"/>
  <c r="T839" i="2" s="1"/>
  <c r="R840" i="2"/>
  <c r="S840" i="2" s="1"/>
  <c r="T840" i="2" s="1"/>
  <c r="R841" i="2"/>
  <c r="S841" i="2" s="1"/>
  <c r="T841" i="2" s="1"/>
  <c r="R842" i="2"/>
  <c r="S842" i="2" s="1"/>
  <c r="T842" i="2" s="1"/>
  <c r="R843" i="2"/>
  <c r="S843" i="2" s="1"/>
  <c r="T843" i="2" s="1"/>
  <c r="R844" i="2"/>
  <c r="S844" i="2" s="1"/>
  <c r="T844" i="2" s="1"/>
  <c r="R845" i="2"/>
  <c r="S845" i="2" s="1"/>
  <c r="T845" i="2" s="1"/>
  <c r="R846" i="2"/>
  <c r="S846" i="2" s="1"/>
  <c r="T846" i="2" s="1"/>
  <c r="R847" i="2"/>
  <c r="S847" i="2" s="1"/>
  <c r="T847" i="2" s="1"/>
  <c r="R848" i="2"/>
  <c r="S848" i="2" s="1"/>
  <c r="T848" i="2" s="1"/>
  <c r="R849" i="2"/>
  <c r="S849" i="2" s="1"/>
  <c r="T849" i="2" s="1"/>
  <c r="R850" i="2"/>
  <c r="S850" i="2" s="1"/>
  <c r="T850" i="2" s="1"/>
  <c r="R851" i="2"/>
  <c r="S851" i="2" s="1"/>
  <c r="T851" i="2" s="1"/>
  <c r="R852" i="2"/>
  <c r="S852" i="2" s="1"/>
  <c r="T852" i="2" s="1"/>
  <c r="R853" i="2"/>
  <c r="S853" i="2" s="1"/>
  <c r="T853" i="2" s="1"/>
  <c r="R854" i="2"/>
  <c r="S854" i="2" s="1"/>
  <c r="T854" i="2" s="1"/>
  <c r="R855" i="2"/>
  <c r="S855" i="2" s="1"/>
  <c r="T855" i="2" s="1"/>
  <c r="R856" i="2"/>
  <c r="S856" i="2" s="1"/>
  <c r="T856" i="2" s="1"/>
  <c r="R857" i="2"/>
  <c r="S857" i="2" s="1"/>
  <c r="T857" i="2" s="1"/>
  <c r="R858" i="2"/>
  <c r="S858" i="2" s="1"/>
  <c r="T858" i="2" s="1"/>
  <c r="R859" i="2"/>
  <c r="S859" i="2" s="1"/>
  <c r="T859" i="2" s="1"/>
  <c r="R860" i="2"/>
  <c r="S860" i="2" s="1"/>
  <c r="T860" i="2" s="1"/>
  <c r="R861" i="2"/>
  <c r="S861" i="2" s="1"/>
  <c r="T861" i="2" s="1"/>
  <c r="R862" i="2"/>
  <c r="S862" i="2" s="1"/>
  <c r="T862" i="2" s="1"/>
  <c r="R863" i="2"/>
  <c r="S863" i="2" s="1"/>
  <c r="T863" i="2" s="1"/>
  <c r="R864" i="2"/>
  <c r="S864" i="2" s="1"/>
  <c r="T864" i="2" s="1"/>
  <c r="R865" i="2"/>
  <c r="S865" i="2" s="1"/>
  <c r="T865" i="2" s="1"/>
  <c r="R866" i="2"/>
  <c r="S866" i="2" s="1"/>
  <c r="T866" i="2" s="1"/>
  <c r="R867" i="2"/>
  <c r="S867" i="2" s="1"/>
  <c r="T867" i="2" s="1"/>
  <c r="R868" i="2"/>
  <c r="S868" i="2" s="1"/>
  <c r="T868" i="2" s="1"/>
  <c r="R869" i="2"/>
  <c r="S869" i="2" s="1"/>
  <c r="T869" i="2" s="1"/>
  <c r="R870" i="2"/>
  <c r="S870" i="2" s="1"/>
  <c r="T870" i="2" s="1"/>
  <c r="R871" i="2"/>
  <c r="S871" i="2" s="1"/>
  <c r="T871" i="2" s="1"/>
  <c r="R872" i="2"/>
  <c r="S872" i="2" s="1"/>
  <c r="T872" i="2" s="1"/>
  <c r="R873" i="2"/>
  <c r="S873" i="2" s="1"/>
  <c r="T873" i="2" s="1"/>
  <c r="R874" i="2"/>
  <c r="S874" i="2" s="1"/>
  <c r="T874" i="2" s="1"/>
  <c r="R875" i="2"/>
  <c r="S875" i="2" s="1"/>
  <c r="T875" i="2" s="1"/>
  <c r="R876" i="2"/>
  <c r="S876" i="2" s="1"/>
  <c r="T876" i="2" s="1"/>
  <c r="R877" i="2"/>
  <c r="S877" i="2" s="1"/>
  <c r="T877" i="2" s="1"/>
  <c r="R878" i="2"/>
  <c r="S878" i="2" s="1"/>
  <c r="T878" i="2" s="1"/>
  <c r="R879" i="2"/>
  <c r="S879" i="2" s="1"/>
  <c r="T879" i="2" s="1"/>
  <c r="R880" i="2"/>
  <c r="S880" i="2" s="1"/>
  <c r="T880" i="2" s="1"/>
  <c r="R881" i="2"/>
  <c r="S881" i="2" s="1"/>
  <c r="T881" i="2" s="1"/>
  <c r="R882" i="2"/>
  <c r="S882" i="2" s="1"/>
  <c r="T882" i="2" s="1"/>
  <c r="R883" i="2"/>
  <c r="S883" i="2" s="1"/>
  <c r="T883" i="2" s="1"/>
  <c r="R884" i="2"/>
  <c r="S884" i="2" s="1"/>
  <c r="T884" i="2" s="1"/>
  <c r="R885" i="2"/>
  <c r="S885" i="2" s="1"/>
  <c r="T885" i="2" s="1"/>
  <c r="R886" i="2"/>
  <c r="S886" i="2" s="1"/>
  <c r="T886" i="2" s="1"/>
  <c r="R887" i="2"/>
  <c r="S887" i="2" s="1"/>
  <c r="T887" i="2" s="1"/>
  <c r="R888" i="2"/>
  <c r="S888" i="2" s="1"/>
  <c r="T888" i="2" s="1"/>
  <c r="R889" i="2"/>
  <c r="S889" i="2" s="1"/>
  <c r="T889" i="2" s="1"/>
  <c r="R890" i="2"/>
  <c r="S890" i="2" s="1"/>
  <c r="T890" i="2" s="1"/>
  <c r="R891" i="2"/>
  <c r="S891" i="2" s="1"/>
  <c r="T891" i="2" s="1"/>
  <c r="R892" i="2"/>
  <c r="S892" i="2" s="1"/>
  <c r="T892" i="2" s="1"/>
  <c r="R893" i="2"/>
  <c r="S893" i="2" s="1"/>
  <c r="T893" i="2" s="1"/>
  <c r="R894" i="2"/>
  <c r="S894" i="2" s="1"/>
  <c r="T894" i="2" s="1"/>
  <c r="R895" i="2"/>
  <c r="S895" i="2" s="1"/>
  <c r="T895" i="2" s="1"/>
  <c r="R896" i="2"/>
  <c r="S896" i="2" s="1"/>
  <c r="T896" i="2" s="1"/>
  <c r="R897" i="2"/>
  <c r="S897" i="2" s="1"/>
  <c r="T897" i="2" s="1"/>
  <c r="R898" i="2"/>
  <c r="S898" i="2" s="1"/>
  <c r="T898" i="2" s="1"/>
  <c r="R899" i="2"/>
  <c r="S899" i="2" s="1"/>
  <c r="T899" i="2" s="1"/>
  <c r="R900" i="2"/>
  <c r="S900" i="2" s="1"/>
  <c r="T900" i="2" s="1"/>
  <c r="R901" i="2"/>
  <c r="S901" i="2" s="1"/>
  <c r="T901" i="2" s="1"/>
  <c r="R902" i="2"/>
  <c r="S902" i="2" s="1"/>
  <c r="T902" i="2" s="1"/>
  <c r="R903" i="2"/>
  <c r="S903" i="2" s="1"/>
  <c r="T903" i="2" s="1"/>
  <c r="R904" i="2"/>
  <c r="S904" i="2" s="1"/>
  <c r="T904" i="2" s="1"/>
  <c r="R905" i="2"/>
  <c r="S905" i="2" s="1"/>
  <c r="T905" i="2" s="1"/>
  <c r="R906" i="2"/>
  <c r="S906" i="2" s="1"/>
  <c r="T906" i="2" s="1"/>
  <c r="R907" i="2"/>
  <c r="S907" i="2" s="1"/>
  <c r="T907" i="2" s="1"/>
  <c r="R908" i="2"/>
  <c r="S908" i="2" s="1"/>
  <c r="T908" i="2" s="1"/>
  <c r="R909" i="2"/>
  <c r="S909" i="2" s="1"/>
  <c r="T909" i="2" s="1"/>
  <c r="R910" i="2"/>
  <c r="S910" i="2" s="1"/>
  <c r="T910" i="2" s="1"/>
  <c r="R911" i="2"/>
  <c r="S911" i="2" s="1"/>
  <c r="T911" i="2" s="1"/>
  <c r="R912" i="2"/>
  <c r="S912" i="2" s="1"/>
  <c r="T912" i="2" s="1"/>
  <c r="R913" i="2"/>
  <c r="S913" i="2" s="1"/>
  <c r="T913" i="2" s="1"/>
  <c r="R914" i="2"/>
  <c r="S914" i="2" s="1"/>
  <c r="T914" i="2" s="1"/>
  <c r="R915" i="2"/>
  <c r="S915" i="2" s="1"/>
  <c r="T915" i="2" s="1"/>
  <c r="R916" i="2"/>
  <c r="S916" i="2" s="1"/>
  <c r="T916" i="2" s="1"/>
  <c r="R917" i="2"/>
  <c r="S917" i="2" s="1"/>
  <c r="T917" i="2" s="1"/>
  <c r="R918" i="2"/>
  <c r="S918" i="2" s="1"/>
  <c r="T918" i="2" s="1"/>
  <c r="R919" i="2"/>
  <c r="S919" i="2" s="1"/>
  <c r="T919" i="2" s="1"/>
  <c r="R920" i="2"/>
  <c r="S920" i="2" s="1"/>
  <c r="T920" i="2" s="1"/>
  <c r="R921" i="2"/>
  <c r="S921" i="2" s="1"/>
  <c r="T921" i="2" s="1"/>
  <c r="R922" i="2"/>
  <c r="S922" i="2" s="1"/>
  <c r="T922" i="2" s="1"/>
  <c r="R923" i="2"/>
  <c r="S923" i="2" s="1"/>
  <c r="T923" i="2" s="1"/>
  <c r="R924" i="2"/>
  <c r="S924" i="2" s="1"/>
  <c r="T924" i="2" s="1"/>
  <c r="R925" i="2"/>
  <c r="S925" i="2" s="1"/>
  <c r="T925" i="2" s="1"/>
  <c r="R926" i="2"/>
  <c r="S926" i="2" s="1"/>
  <c r="T926" i="2" s="1"/>
  <c r="R927" i="2"/>
  <c r="S927" i="2" s="1"/>
  <c r="T927" i="2" s="1"/>
  <c r="R928" i="2"/>
  <c r="S928" i="2" s="1"/>
  <c r="T928" i="2" s="1"/>
  <c r="R929" i="2"/>
  <c r="S929" i="2" s="1"/>
  <c r="T929" i="2" s="1"/>
  <c r="R930" i="2"/>
  <c r="S930" i="2" s="1"/>
  <c r="T930" i="2" s="1"/>
  <c r="R931" i="2"/>
  <c r="S931" i="2" s="1"/>
  <c r="T931" i="2" s="1"/>
  <c r="R932" i="2"/>
  <c r="S932" i="2" s="1"/>
  <c r="T932" i="2" s="1"/>
  <c r="R933" i="2"/>
  <c r="S933" i="2" s="1"/>
  <c r="T933" i="2" s="1"/>
  <c r="R934" i="2"/>
  <c r="S934" i="2" s="1"/>
  <c r="T934" i="2" s="1"/>
  <c r="R935" i="2"/>
  <c r="S935" i="2" s="1"/>
  <c r="T935" i="2" s="1"/>
  <c r="R936" i="2"/>
  <c r="S936" i="2" s="1"/>
  <c r="T936" i="2" s="1"/>
  <c r="R937" i="2"/>
  <c r="S937" i="2" s="1"/>
  <c r="T937" i="2" s="1"/>
  <c r="R938" i="2"/>
  <c r="S938" i="2" s="1"/>
  <c r="T938" i="2" s="1"/>
  <c r="R939" i="2"/>
  <c r="S939" i="2" s="1"/>
  <c r="T939" i="2" s="1"/>
  <c r="R940" i="2"/>
  <c r="S940" i="2" s="1"/>
  <c r="T940" i="2" s="1"/>
  <c r="R941" i="2"/>
  <c r="S941" i="2" s="1"/>
  <c r="T941" i="2" s="1"/>
  <c r="R942" i="2"/>
  <c r="S942" i="2" s="1"/>
  <c r="T942" i="2" s="1"/>
  <c r="R943" i="2"/>
  <c r="S943" i="2" s="1"/>
  <c r="T943" i="2" s="1"/>
  <c r="R944" i="2"/>
  <c r="S944" i="2" s="1"/>
  <c r="T944" i="2" s="1"/>
  <c r="R945" i="2"/>
  <c r="S945" i="2" s="1"/>
  <c r="T945" i="2" s="1"/>
  <c r="R946" i="2"/>
  <c r="S946" i="2" s="1"/>
  <c r="T946" i="2" s="1"/>
  <c r="R947" i="2"/>
  <c r="S947" i="2" s="1"/>
  <c r="T947" i="2" s="1"/>
  <c r="R948" i="2"/>
  <c r="S948" i="2" s="1"/>
  <c r="T948" i="2" s="1"/>
  <c r="R949" i="2"/>
  <c r="S949" i="2" s="1"/>
  <c r="T949" i="2" s="1"/>
  <c r="R950" i="2"/>
  <c r="S950" i="2" s="1"/>
  <c r="T950" i="2" s="1"/>
  <c r="R951" i="2"/>
  <c r="S951" i="2" s="1"/>
  <c r="T951" i="2" s="1"/>
  <c r="R952" i="2"/>
  <c r="S952" i="2" s="1"/>
  <c r="T952" i="2" s="1"/>
  <c r="R953" i="2"/>
  <c r="S953" i="2" s="1"/>
  <c r="T953" i="2" s="1"/>
  <c r="R954" i="2"/>
  <c r="S954" i="2" s="1"/>
  <c r="T954" i="2" s="1"/>
  <c r="R955" i="2"/>
  <c r="S955" i="2" s="1"/>
  <c r="T955" i="2" s="1"/>
  <c r="R956" i="2"/>
  <c r="S956" i="2" s="1"/>
  <c r="T956" i="2" s="1"/>
  <c r="R957" i="2"/>
  <c r="S957" i="2" s="1"/>
  <c r="T957" i="2" s="1"/>
  <c r="R958" i="2"/>
  <c r="S958" i="2" s="1"/>
  <c r="T958" i="2" s="1"/>
  <c r="R959" i="2"/>
  <c r="S959" i="2" s="1"/>
  <c r="T959" i="2" s="1"/>
  <c r="R960" i="2"/>
  <c r="S960" i="2" s="1"/>
  <c r="T960" i="2" s="1"/>
  <c r="R961" i="2"/>
  <c r="S961" i="2" s="1"/>
  <c r="T961" i="2" s="1"/>
  <c r="R962" i="2"/>
  <c r="S962" i="2" s="1"/>
  <c r="T962" i="2" s="1"/>
  <c r="R963" i="2"/>
  <c r="S963" i="2" s="1"/>
  <c r="T963" i="2" s="1"/>
  <c r="R964" i="2"/>
  <c r="S964" i="2" s="1"/>
  <c r="T964" i="2" s="1"/>
  <c r="R965" i="2"/>
  <c r="S965" i="2" s="1"/>
  <c r="T965" i="2" s="1"/>
  <c r="R966" i="2"/>
  <c r="S966" i="2" s="1"/>
  <c r="T966" i="2" s="1"/>
  <c r="R967" i="2"/>
  <c r="S967" i="2" s="1"/>
  <c r="T967" i="2" s="1"/>
  <c r="R968" i="2"/>
  <c r="S968" i="2" s="1"/>
  <c r="T968" i="2" s="1"/>
  <c r="R969" i="2"/>
  <c r="S969" i="2" s="1"/>
  <c r="T969" i="2" s="1"/>
  <c r="R970" i="2"/>
  <c r="S970" i="2" s="1"/>
  <c r="T970" i="2" s="1"/>
  <c r="R971" i="2"/>
  <c r="S971" i="2" s="1"/>
  <c r="T971" i="2" s="1"/>
  <c r="R972" i="2"/>
  <c r="S972" i="2" s="1"/>
  <c r="T972" i="2" s="1"/>
  <c r="R973" i="2"/>
  <c r="S973" i="2" s="1"/>
  <c r="T973" i="2" s="1"/>
  <c r="R974" i="2"/>
  <c r="S974" i="2" s="1"/>
  <c r="T974" i="2" s="1"/>
  <c r="R975" i="2"/>
  <c r="S975" i="2" s="1"/>
  <c r="T975" i="2" s="1"/>
  <c r="R976" i="2"/>
  <c r="S976" i="2" s="1"/>
  <c r="T976" i="2" s="1"/>
  <c r="R977" i="2"/>
  <c r="S977" i="2" s="1"/>
  <c r="T977" i="2" s="1"/>
  <c r="R978" i="2"/>
  <c r="S978" i="2" s="1"/>
  <c r="T978" i="2" s="1"/>
  <c r="R979" i="2"/>
  <c r="S979" i="2" s="1"/>
  <c r="T979" i="2" s="1"/>
  <c r="R980" i="2"/>
  <c r="S980" i="2" s="1"/>
  <c r="T980" i="2" s="1"/>
  <c r="R981" i="2"/>
  <c r="S981" i="2" s="1"/>
  <c r="T981" i="2" s="1"/>
  <c r="R982" i="2"/>
  <c r="S982" i="2" s="1"/>
  <c r="T982" i="2" s="1"/>
  <c r="R983" i="2"/>
  <c r="S983" i="2" s="1"/>
  <c r="T983" i="2" s="1"/>
  <c r="R984" i="2"/>
  <c r="S984" i="2" s="1"/>
  <c r="T984" i="2" s="1"/>
  <c r="R985" i="2"/>
  <c r="S985" i="2" s="1"/>
  <c r="T985" i="2" s="1"/>
  <c r="R986" i="2"/>
  <c r="S986" i="2" s="1"/>
  <c r="T986" i="2" s="1"/>
  <c r="R987" i="2"/>
  <c r="S987" i="2" s="1"/>
  <c r="T987" i="2" s="1"/>
  <c r="R988" i="2"/>
  <c r="S988" i="2" s="1"/>
  <c r="T988" i="2" s="1"/>
  <c r="R989" i="2"/>
  <c r="S989" i="2" s="1"/>
  <c r="T989" i="2" s="1"/>
  <c r="R990" i="2"/>
  <c r="S990" i="2" s="1"/>
  <c r="T990" i="2" s="1"/>
  <c r="R991" i="2"/>
  <c r="S991" i="2" s="1"/>
  <c r="T991" i="2" s="1"/>
  <c r="R992" i="2"/>
  <c r="S992" i="2" s="1"/>
  <c r="T992" i="2" s="1"/>
  <c r="R993" i="2"/>
  <c r="S993" i="2" s="1"/>
  <c r="T993" i="2" s="1"/>
  <c r="R994" i="2"/>
  <c r="S994" i="2" s="1"/>
  <c r="T994" i="2" s="1"/>
  <c r="R995" i="2"/>
  <c r="S995" i="2" s="1"/>
  <c r="T995" i="2" s="1"/>
  <c r="R996" i="2"/>
  <c r="S996" i="2" s="1"/>
  <c r="T996" i="2" s="1"/>
  <c r="R997" i="2"/>
  <c r="S997" i="2" s="1"/>
  <c r="T997" i="2" s="1"/>
  <c r="R998" i="2"/>
  <c r="S998" i="2" s="1"/>
  <c r="T998" i="2" s="1"/>
  <c r="R999" i="2"/>
  <c r="S999" i="2" s="1"/>
  <c r="T999" i="2" s="1"/>
  <c r="B15" i="3"/>
  <c r="B12" i="3"/>
  <c r="B11" i="3"/>
  <c r="B10" i="3"/>
  <c r="B6" i="3"/>
  <c r="B5" i="3"/>
  <c r="B4" i="3"/>
  <c r="B3" i="3"/>
</calcChain>
</file>

<file path=xl/sharedStrings.xml><?xml version="1.0" encoding="utf-8"?>
<sst xmlns="http://schemas.openxmlformats.org/spreadsheetml/2006/main" count="5072" uniqueCount="1447">
  <si>
    <t>MovieID</t>
  </si>
  <si>
    <t>Title</t>
  </si>
  <si>
    <t>Genre</t>
  </si>
  <si>
    <t>ReleaseYear</t>
  </si>
  <si>
    <t>ReleaseDate</t>
  </si>
  <si>
    <t>Country</t>
  </si>
  <si>
    <t>BudgetUSD</t>
  </si>
  <si>
    <t>US_BoxOfficeUSD</t>
  </si>
  <si>
    <t>Global_BoxOfficeUSD</t>
  </si>
  <si>
    <t>Opening_Day_SalesUSD</t>
  </si>
  <si>
    <t>One_Week_SalesUSD</t>
  </si>
  <si>
    <t>IMDbRating</t>
  </si>
  <si>
    <t>RottenTomatoesScore</t>
  </si>
  <si>
    <t>NumVotesIMDb</t>
  </si>
  <si>
    <t>NumVotesRT</t>
  </si>
  <si>
    <t>Director</t>
  </si>
  <si>
    <t>LeadActor</t>
  </si>
  <si>
    <t>Might toward capital</t>
  </si>
  <si>
    <t>Comedy</t>
  </si>
  <si>
    <t>China</t>
  </si>
  <si>
    <t>Kristina Moore</t>
  </si>
  <si>
    <t>Brian Mccormick</t>
  </si>
  <si>
    <t>He however experience</t>
  </si>
  <si>
    <t>USA</t>
  </si>
  <si>
    <t>Benjamin Hudson</t>
  </si>
  <si>
    <t>Ashley Pena</t>
  </si>
  <si>
    <t>Star responsibility politics</t>
  </si>
  <si>
    <t>Kayla Young</t>
  </si>
  <si>
    <t>Alexander Haley</t>
  </si>
  <si>
    <t>Exactly live</t>
  </si>
  <si>
    <t>Michael Ross</t>
  </si>
  <si>
    <t>Patrick Barnett</t>
  </si>
  <si>
    <t>Focus improve especially</t>
  </si>
  <si>
    <t>Documentary</t>
  </si>
  <si>
    <t>India</t>
  </si>
  <si>
    <t>Faith Franklin</t>
  </si>
  <si>
    <t>Duane Fletcher DDS</t>
  </si>
  <si>
    <t>Deal reveal fine</t>
  </si>
  <si>
    <t>Drama</t>
  </si>
  <si>
    <t>Thomas Peterson</t>
  </si>
  <si>
    <t>Carolyn Calhoun</t>
  </si>
  <si>
    <t>Drug when</t>
  </si>
  <si>
    <t>Maria Lane</t>
  </si>
  <si>
    <t>Melissa Cain</t>
  </si>
  <si>
    <t>Almost option of</t>
  </si>
  <si>
    <t>Horror</t>
  </si>
  <si>
    <t>Diane Skinner</t>
  </si>
  <si>
    <t>Catherine Willis</t>
  </si>
  <si>
    <t>Film about training</t>
  </si>
  <si>
    <t>Albert Phillips</t>
  </si>
  <si>
    <t>Ashley Reeves</t>
  </si>
  <si>
    <t>Begin difficult world</t>
  </si>
  <si>
    <t>Francisco Ford</t>
  </si>
  <si>
    <t>Richard Miller</t>
  </si>
  <si>
    <t>Eight</t>
  </si>
  <si>
    <t>Mark Brooks</t>
  </si>
  <si>
    <t>Jacqueline Cooper</t>
  </si>
  <si>
    <t>Score by attorney</t>
  </si>
  <si>
    <t>Robert Webster</t>
  </si>
  <si>
    <t>Nicholas Richards</t>
  </si>
  <si>
    <t>Nice piece near</t>
  </si>
  <si>
    <t>Michelle Collins</t>
  </si>
  <si>
    <t>Paige Gonzalez</t>
  </si>
  <si>
    <t>Among money</t>
  </si>
  <si>
    <t>Philip Simmons</t>
  </si>
  <si>
    <t>Kristy Faulkner</t>
  </si>
  <si>
    <t>Purpose miss others show</t>
  </si>
  <si>
    <t>Action</t>
  </si>
  <si>
    <t>Patricia Munoz</t>
  </si>
  <si>
    <t>Sharon Riley</t>
  </si>
  <si>
    <t>Similar off</t>
  </si>
  <si>
    <t>Jason Jones</t>
  </si>
  <si>
    <t>Thomas Hill</t>
  </si>
  <si>
    <t>Accept past she somebody</t>
  </si>
  <si>
    <t>Mr. Jorge Anderson</t>
  </si>
  <si>
    <t>Daniel Hughes</t>
  </si>
  <si>
    <t>Memory blue</t>
  </si>
  <si>
    <t>Thriller</t>
  </si>
  <si>
    <t>Casey Lloyd</t>
  </si>
  <si>
    <t>Sport just score</t>
  </si>
  <si>
    <t>Amanda Cantrell</t>
  </si>
  <si>
    <t>Christopher Hanson</t>
  </si>
  <si>
    <t>Mrs close hotel</t>
  </si>
  <si>
    <t>Kimberly Barker</t>
  </si>
  <si>
    <t>Kimberly Ray</t>
  </si>
  <si>
    <t>Agree garden</t>
  </si>
  <si>
    <t>Romance</t>
  </si>
  <si>
    <t>Rachel Hayes</t>
  </si>
  <si>
    <t>Michael Martinez</t>
  </si>
  <si>
    <t>Short phone sometimes product</t>
  </si>
  <si>
    <t>Sophia Gomez</t>
  </si>
  <si>
    <t>Nathan Nelson</t>
  </si>
  <si>
    <t>Identify</t>
  </si>
  <si>
    <t>Victoria Phillips</t>
  </si>
  <si>
    <t>Large over the</t>
  </si>
  <si>
    <t>Colleen Willis</t>
  </si>
  <si>
    <t>Cody Peters</t>
  </si>
  <si>
    <t>Picture value</t>
  </si>
  <si>
    <t>Tonya Campbell</t>
  </si>
  <si>
    <t>Seem into beyond</t>
  </si>
  <si>
    <t>Melissa Cunningham</t>
  </si>
  <si>
    <t>Bad side</t>
  </si>
  <si>
    <t>Abigail Robles</t>
  </si>
  <si>
    <t>Diane Jacobs</t>
  </si>
  <si>
    <t>Second</t>
  </si>
  <si>
    <t>Christopher Tucker</t>
  </si>
  <si>
    <t>Character institution good thousand</t>
  </si>
  <si>
    <t>Sci-Fi</t>
  </si>
  <si>
    <t>Chad Koch</t>
  </si>
  <si>
    <t>Valerie Dennis</t>
  </si>
  <si>
    <t>Professor either</t>
  </si>
  <si>
    <t>Jacqueline Briggs</t>
  </si>
  <si>
    <t>Melissa Mcgee</t>
  </si>
  <si>
    <t>Model station</t>
  </si>
  <si>
    <t>Jerry Owens</t>
  </si>
  <si>
    <t>Amanda Jenkins</t>
  </si>
  <si>
    <t>Dinner</t>
  </si>
  <si>
    <t>Oscar Santos</t>
  </si>
  <si>
    <t>William Ramirez</t>
  </si>
  <si>
    <t>From cold law</t>
  </si>
  <si>
    <t>Megan Sharp</t>
  </si>
  <si>
    <t>George Green</t>
  </si>
  <si>
    <t>Character return</t>
  </si>
  <si>
    <t>Barbara Torres</t>
  </si>
  <si>
    <t>Lorraine White DDS</t>
  </si>
  <si>
    <t>Draw trade</t>
  </si>
  <si>
    <t>Karen Smith</t>
  </si>
  <si>
    <t>Thomas Sims</t>
  </si>
  <si>
    <t>Exist put simply</t>
  </si>
  <si>
    <t>Bryan Murray</t>
  </si>
  <si>
    <t>Becky Dean</t>
  </si>
  <si>
    <t>Region region</t>
  </si>
  <si>
    <t>Australia</t>
  </si>
  <si>
    <t>David Charles</t>
  </si>
  <si>
    <t>Danny Kline</t>
  </si>
  <si>
    <t>Can shoulder</t>
  </si>
  <si>
    <t>Renee Campbell</t>
  </si>
  <si>
    <t>Mark Jones</t>
  </si>
  <si>
    <t>Above dog</t>
  </si>
  <si>
    <t>UK</t>
  </si>
  <si>
    <t>Sara Higgins</t>
  </si>
  <si>
    <t>James Nichols</t>
  </si>
  <si>
    <t>Record stay lead</t>
  </si>
  <si>
    <t>Bank government year</t>
  </si>
  <si>
    <t>Pamela Lopez</t>
  </si>
  <si>
    <t>Sing office hair</t>
  </si>
  <si>
    <t>Michael Richards</t>
  </si>
  <si>
    <t>Lucas Collins</t>
  </si>
  <si>
    <t>Head lay</t>
  </si>
  <si>
    <t>Robin Hooper</t>
  </si>
  <si>
    <t>Jeffrey Smith</t>
  </si>
  <si>
    <t>Majority</t>
  </si>
  <si>
    <t>France</t>
  </si>
  <si>
    <t>Hannah Camacho</t>
  </si>
  <si>
    <t>Jason Mercer</t>
  </si>
  <si>
    <t>Message bed behind</t>
  </si>
  <si>
    <t>Daniel Brown</t>
  </si>
  <si>
    <t>Official possible</t>
  </si>
  <si>
    <t>Claudia Smith</t>
  </si>
  <si>
    <t>Ryan Hood</t>
  </si>
  <si>
    <t>Example center man</t>
  </si>
  <si>
    <t>Judy Walker</t>
  </si>
  <si>
    <t>William Crawford</t>
  </si>
  <si>
    <t>Head team onto model</t>
  </si>
  <si>
    <t>Robert Hendricks</t>
  </si>
  <si>
    <t>Melissa Morales</t>
  </si>
  <si>
    <t>Finish</t>
  </si>
  <si>
    <t>Seth Whitehead</t>
  </si>
  <si>
    <t>Kathy Marshall</t>
  </si>
  <si>
    <t>Right</t>
  </si>
  <si>
    <t>Mckenzie Perez</t>
  </si>
  <si>
    <t>Dog improve perhaps</t>
  </si>
  <si>
    <t>Jennifer Willis</t>
  </si>
  <si>
    <t>Strong son travel</t>
  </si>
  <si>
    <t>Mary Mitchell</t>
  </si>
  <si>
    <t>Jason Chavez</t>
  </si>
  <si>
    <t>Those arm action</t>
  </si>
  <si>
    <t>Andrew Chambers</t>
  </si>
  <si>
    <t>Brandon Mcguire</t>
  </si>
  <si>
    <t>Perhaps much enjoy</t>
  </si>
  <si>
    <t>Tricia Thomas</t>
  </si>
  <si>
    <t>Difficult success organization</t>
  </si>
  <si>
    <t>Patricia Ramirez</t>
  </si>
  <si>
    <t>Usually push</t>
  </si>
  <si>
    <t>Heidi Cisneros</t>
  </si>
  <si>
    <t>Robert Walker</t>
  </si>
  <si>
    <t>Bring tonight early</t>
  </si>
  <si>
    <t>Michael Chung</t>
  </si>
  <si>
    <t>Casey Collins</t>
  </si>
  <si>
    <t>Run statement population</t>
  </si>
  <si>
    <t>Michelle Thomas</t>
  </si>
  <si>
    <t>Issue put yes</t>
  </si>
  <si>
    <t>Paul Rogers</t>
  </si>
  <si>
    <t>Dominique Aguirre</t>
  </si>
  <si>
    <t>Carry section</t>
  </si>
  <si>
    <t>Carolyn Schwartz</t>
  </si>
  <si>
    <t>Mark Morris</t>
  </si>
  <si>
    <t>Either this now</t>
  </si>
  <si>
    <t>Eric Cooper</t>
  </si>
  <si>
    <t>Return speech</t>
  </si>
  <si>
    <t>Jennifer Henry</t>
  </si>
  <si>
    <t>Subject next per</t>
  </si>
  <si>
    <t>Donna Hall</t>
  </si>
  <si>
    <t>Christopher Hurst</t>
  </si>
  <si>
    <t>Education professor four</t>
  </si>
  <si>
    <t>Anthony Rowland</t>
  </si>
  <si>
    <t>Cassandra Dennis</t>
  </si>
  <si>
    <t>Program ago</t>
  </si>
  <si>
    <t>Adam Brown</t>
  </si>
  <si>
    <t>Owner four four</t>
  </si>
  <si>
    <t>Joseph Leon</t>
  </si>
  <si>
    <t>Until government</t>
  </si>
  <si>
    <t>Ryan Tate</t>
  </si>
  <si>
    <t>Darren Jones</t>
  </si>
  <si>
    <t>Four forget today</t>
  </si>
  <si>
    <t>Change think create</t>
  </si>
  <si>
    <t>Melanie Olson</t>
  </si>
  <si>
    <t>Douglas Davis</t>
  </si>
  <si>
    <t>However whom</t>
  </si>
  <si>
    <t>Jennifer Miller</t>
  </si>
  <si>
    <t>Form floor thank</t>
  </si>
  <si>
    <t>Darlene Murphy</t>
  </si>
  <si>
    <t>Sharon Brady</t>
  </si>
  <si>
    <t>Response main</t>
  </si>
  <si>
    <t>Kevin Green</t>
  </si>
  <si>
    <t>Sandra Farmer</t>
  </si>
  <si>
    <t>Believe TV past</t>
  </si>
  <si>
    <t>David Hall</t>
  </si>
  <si>
    <t>Sierra Brooks</t>
  </si>
  <si>
    <t>Vote</t>
  </si>
  <si>
    <t>Think exactly</t>
  </si>
  <si>
    <t>Dr. Jonathan Long</t>
  </si>
  <si>
    <t>Sarah Nelson</t>
  </si>
  <si>
    <t>Power find</t>
  </si>
  <si>
    <t>James Cross</t>
  </si>
  <si>
    <t>Mrs. Margaret Smith</t>
  </si>
  <si>
    <t>Market one</t>
  </si>
  <si>
    <t>David Rosales</t>
  </si>
  <si>
    <t>Timothy George</t>
  </si>
  <si>
    <t>All hot</t>
  </si>
  <si>
    <t>Jeffrey Neal</t>
  </si>
  <si>
    <t>Wide clearly provide</t>
  </si>
  <si>
    <t>Sense relationship leader</t>
  </si>
  <si>
    <t>Discuss result</t>
  </si>
  <si>
    <t>Amber Willis</t>
  </si>
  <si>
    <t>Away bring</t>
  </si>
  <si>
    <t>Matthew Beck</t>
  </si>
  <si>
    <t>Kimberly Ramirez</t>
  </si>
  <si>
    <t>Fall structure</t>
  </si>
  <si>
    <t>Canada</t>
  </si>
  <si>
    <t>Seth Smith</t>
  </si>
  <si>
    <t>Physical say face within</t>
  </si>
  <si>
    <t>Karen Barrett</t>
  </si>
  <si>
    <t>Samantha Vargas</t>
  </si>
  <si>
    <t>Under push evening</t>
  </si>
  <si>
    <t>Around night</t>
  </si>
  <si>
    <t>Dawn Blake</t>
  </si>
  <si>
    <t>Focus investment her</t>
  </si>
  <si>
    <t>David Hart</t>
  </si>
  <si>
    <t>Fly baby</t>
  </si>
  <si>
    <t>William Walker</t>
  </si>
  <si>
    <t>Ask clearly if</t>
  </si>
  <si>
    <t>Jorge Kennedy</t>
  </si>
  <si>
    <t>Speech about someone</t>
  </si>
  <si>
    <t>Brian Robinson</t>
  </si>
  <si>
    <t>Christopher Rodgers</t>
  </si>
  <si>
    <t>Report physical candidate</t>
  </si>
  <si>
    <t>Germany</t>
  </si>
  <si>
    <t>William Carpenter</t>
  </si>
  <si>
    <t>Christopher Benson</t>
  </si>
  <si>
    <t>You discover</t>
  </si>
  <si>
    <t>Mark Moody</t>
  </si>
  <si>
    <t>Alison Clark</t>
  </si>
  <si>
    <t>Alone day official</t>
  </si>
  <si>
    <t>Choose common</t>
  </si>
  <si>
    <t>Stephen Cooper</t>
  </si>
  <si>
    <t>Wonder young must</t>
  </si>
  <si>
    <t>Caitlin Brewer</t>
  </si>
  <si>
    <t>Ashley Gilmore</t>
  </si>
  <si>
    <t>All lot</t>
  </si>
  <si>
    <t>Emily Miller</t>
  </si>
  <si>
    <t>Lay fill mind</t>
  </si>
  <si>
    <t>Joseph Gonzalez</t>
  </si>
  <si>
    <t>Hold</t>
  </si>
  <si>
    <t>However listen each</t>
  </si>
  <si>
    <t>Brittany Kelly</t>
  </si>
  <si>
    <t>Best something last</t>
  </si>
  <si>
    <t>Melissa Hernandez</t>
  </si>
  <si>
    <t>Pamela Frey</t>
  </si>
  <si>
    <t>Hair significant fear</t>
  </si>
  <si>
    <t>Noah Harrison</t>
  </si>
  <si>
    <t>Per</t>
  </si>
  <si>
    <t>Adriana Campbell</t>
  </si>
  <si>
    <t>Amy Gomez</t>
  </si>
  <si>
    <t>Story when should</t>
  </si>
  <si>
    <t>Melissa Melendez</t>
  </si>
  <si>
    <t>Market he suggest</t>
  </si>
  <si>
    <t>Ever standard fill</t>
  </si>
  <si>
    <t>Debate clear light do</t>
  </si>
  <si>
    <t>David Perez</t>
  </si>
  <si>
    <t>Derrick Smith</t>
  </si>
  <si>
    <t>Difference sport face</t>
  </si>
  <si>
    <t>Jeremy Ray</t>
  </si>
  <si>
    <t>Peter Sanders</t>
  </si>
  <si>
    <t>Official together sure</t>
  </si>
  <si>
    <t>Kristin Cook</t>
  </si>
  <si>
    <t>Cut success</t>
  </si>
  <si>
    <t>Janice Taylor</t>
  </si>
  <si>
    <t>Daryl Douglas</t>
  </si>
  <si>
    <t>Itself role</t>
  </si>
  <si>
    <t>Michael Manning</t>
  </si>
  <si>
    <t>Teresa Davis</t>
  </si>
  <si>
    <t>Everybody provide skin occur</t>
  </si>
  <si>
    <t>Bar</t>
  </si>
  <si>
    <t>Leonard Contreras</t>
  </si>
  <si>
    <t>Health administration</t>
  </si>
  <si>
    <t>David Lee</t>
  </si>
  <si>
    <t>Old course</t>
  </si>
  <si>
    <t>Japan</t>
  </si>
  <si>
    <t>James Miller</t>
  </si>
  <si>
    <t>Catherine Rogers</t>
  </si>
  <si>
    <t>Poor case</t>
  </si>
  <si>
    <t>Shawn Washington</t>
  </si>
  <si>
    <t>These example yourself</t>
  </si>
  <si>
    <t>Heather Williams</t>
  </si>
  <si>
    <t>Dinner instead particularly</t>
  </si>
  <si>
    <t>Tracy Tucker</t>
  </si>
  <si>
    <t>Patricia Keller</t>
  </si>
  <si>
    <t>Strong summer</t>
  </si>
  <si>
    <t>Paul Glover</t>
  </si>
  <si>
    <t>Course now</t>
  </si>
  <si>
    <t>Teresa Santos PhD</t>
  </si>
  <si>
    <t>Doctor</t>
  </si>
  <si>
    <t>Ago every boy</t>
  </si>
  <si>
    <t>Ashley Medina</t>
  </si>
  <si>
    <t>Daniel Callahan</t>
  </si>
  <si>
    <t>Member</t>
  </si>
  <si>
    <t>Suzanne Gonzalez</t>
  </si>
  <si>
    <t>Mark Smith</t>
  </si>
  <si>
    <t>Use area many</t>
  </si>
  <si>
    <t>Terry Martinez</t>
  </si>
  <si>
    <t>Every place notice</t>
  </si>
  <si>
    <t>Russell Martin</t>
  </si>
  <si>
    <t>Market</t>
  </si>
  <si>
    <t>Jennifer Atkinson</t>
  </si>
  <si>
    <t>Within</t>
  </si>
  <si>
    <t>Year final</t>
  </si>
  <si>
    <t>John Strickland</t>
  </si>
  <si>
    <t>Chair deep development</t>
  </si>
  <si>
    <t>Shawna Bryant</t>
  </si>
  <si>
    <t>Expert get</t>
  </si>
  <si>
    <t>Chad Peters MD</t>
  </si>
  <si>
    <t>Save better</t>
  </si>
  <si>
    <t>David Lopez</t>
  </si>
  <si>
    <t>Design than a</t>
  </si>
  <si>
    <t>Clear trial some society</t>
  </si>
  <si>
    <t>Charlotte Williams</t>
  </si>
  <si>
    <t>Andrew Walker PhD</t>
  </si>
  <si>
    <t>Up instead avoid</t>
  </si>
  <si>
    <t>Amount manager reflect detail</t>
  </si>
  <si>
    <t>Christopher Roach</t>
  </si>
  <si>
    <t>Possible yet</t>
  </si>
  <si>
    <t>Tyler Sanchez</t>
  </si>
  <si>
    <t>Picture would bad student</t>
  </si>
  <si>
    <t>Jamie Cunningham</t>
  </si>
  <si>
    <t>Message remember model everything</t>
  </si>
  <si>
    <t>Deanna Johnson</t>
  </si>
  <si>
    <t>Yet property fall</t>
  </si>
  <si>
    <t>Julie Maxwell</t>
  </si>
  <si>
    <t>This before</t>
  </si>
  <si>
    <t>Brenda Smith</t>
  </si>
  <si>
    <t>Machine operation</t>
  </si>
  <si>
    <t>Shake too</t>
  </si>
  <si>
    <t>Identify nice</t>
  </si>
  <si>
    <t>Decide body minute</t>
  </si>
  <si>
    <t>Chelsea Armstrong</t>
  </si>
  <si>
    <t>Than appear middle</t>
  </si>
  <si>
    <t>Itself social</t>
  </si>
  <si>
    <t>Benjamin Mitchell</t>
  </si>
  <si>
    <t>Yet</t>
  </si>
  <si>
    <t>Jeremy Davis</t>
  </si>
  <si>
    <t>Kristina Krause</t>
  </si>
  <si>
    <t>Green</t>
  </si>
  <si>
    <t>Anthony Cross</t>
  </si>
  <si>
    <t>When</t>
  </si>
  <si>
    <t>Benjamin Ray</t>
  </si>
  <si>
    <t>Brandon Fuller</t>
  </si>
  <si>
    <t>Cynthia Little</t>
  </si>
  <si>
    <t>Conference why final</t>
  </si>
  <si>
    <t>Tami Miranda</t>
  </si>
  <si>
    <t>Civil prove space</t>
  </si>
  <si>
    <t>Jeffrey Holloway</t>
  </si>
  <si>
    <t>Letter itself girl guy</t>
  </si>
  <si>
    <t>Gary Simmons</t>
  </si>
  <si>
    <t>Mathew Castillo</t>
  </si>
  <si>
    <t>Us check artist</t>
  </si>
  <si>
    <t>Sonya Clark</t>
  </si>
  <si>
    <t>Nicole Dawson</t>
  </si>
  <si>
    <t>Black</t>
  </si>
  <si>
    <t>Mary Wolfe</t>
  </si>
  <si>
    <t>Forward</t>
  </si>
  <si>
    <t>Amber Anderson</t>
  </si>
  <si>
    <t>Mr. Michael Snyder</t>
  </si>
  <si>
    <t>Citizen fight maintain</t>
  </si>
  <si>
    <t>Donald Franco</t>
  </si>
  <si>
    <t>Apply</t>
  </si>
  <si>
    <t>Daniel Thompson</t>
  </si>
  <si>
    <t>Hotel bring</t>
  </si>
  <si>
    <t>Kimberly Johnson</t>
  </si>
  <si>
    <t>Occur wrong</t>
  </si>
  <si>
    <t>Dustin Jackson</t>
  </si>
  <si>
    <t>Despite relationship</t>
  </si>
  <si>
    <t>Jimmy Smith</t>
  </si>
  <si>
    <t>Church nearly</t>
  </si>
  <si>
    <t>Miss Jennifer Parsons</t>
  </si>
  <si>
    <t>Imagine leader receive</t>
  </si>
  <si>
    <t>Mrs. Hannah Campbell DDS</t>
  </si>
  <si>
    <t>Lauren Horton</t>
  </si>
  <si>
    <t>Sign low race</t>
  </si>
  <si>
    <t>Rachel Kirby</t>
  </si>
  <si>
    <t>However</t>
  </si>
  <si>
    <t>Samantha Campbell</t>
  </si>
  <si>
    <t>Ian Williams</t>
  </si>
  <si>
    <t>Suggest fund</t>
  </si>
  <si>
    <t>Jeffrey Myers MD</t>
  </si>
  <si>
    <t>Matthew Simmons</t>
  </si>
  <si>
    <t>Consumer miss themselves</t>
  </si>
  <si>
    <t>Troy Cochran</t>
  </si>
  <si>
    <t>David Castillo</t>
  </si>
  <si>
    <t>Several</t>
  </si>
  <si>
    <t>William Banks</t>
  </si>
  <si>
    <t>Sydney Jordan</t>
  </si>
  <si>
    <t>Charge into</t>
  </si>
  <si>
    <t>Different about dinner</t>
  </si>
  <si>
    <t>Stephanie Cervantes</t>
  </si>
  <si>
    <t>Language figure bill</t>
  </si>
  <si>
    <t>Dr. Michael Monroe</t>
  </si>
  <si>
    <t>Ashley Juarez</t>
  </si>
  <si>
    <t>President these plant</t>
  </si>
  <si>
    <t>Andrea Bowers</t>
  </si>
  <si>
    <t>Give material room</t>
  </si>
  <si>
    <t>Brooke Morales</t>
  </si>
  <si>
    <t>Environment explain</t>
  </si>
  <si>
    <t>Kimberly Smith</t>
  </si>
  <si>
    <t>East suddenly notice</t>
  </si>
  <si>
    <t>Jeanette Archer</t>
  </si>
  <si>
    <t>Alone second expect</t>
  </si>
  <si>
    <t>Lawrence Thomas</t>
  </si>
  <si>
    <t>Detail</t>
  </si>
  <si>
    <t>Response mission professor</t>
  </si>
  <si>
    <t>Darrell Carlson</t>
  </si>
  <si>
    <t>Joshua Willis</t>
  </si>
  <si>
    <t>Hear statement</t>
  </si>
  <si>
    <t>David Morris</t>
  </si>
  <si>
    <t>Low fire strategy</t>
  </si>
  <si>
    <t>Jennifer Cook</t>
  </si>
  <si>
    <t>Base buy</t>
  </si>
  <si>
    <t>Arrive teacher firm north</t>
  </si>
  <si>
    <t>Jessica Singh</t>
  </si>
  <si>
    <t>Lawyer beat foot</t>
  </si>
  <si>
    <t>Eric Obrien</t>
  </si>
  <si>
    <t>Value something</t>
  </si>
  <si>
    <t>Joseph Contreras</t>
  </si>
  <si>
    <t>Adult far surface</t>
  </si>
  <si>
    <t>Anthony Rhodes</t>
  </si>
  <si>
    <t>Agree hour</t>
  </si>
  <si>
    <t>Carry story</t>
  </si>
  <si>
    <t>Benefit ten</t>
  </si>
  <si>
    <t>Accept magazine whole</t>
  </si>
  <si>
    <t>Jennifer Moore</t>
  </si>
  <si>
    <t>Yes control</t>
  </si>
  <si>
    <t>Big</t>
  </si>
  <si>
    <t>Courtney Reynolds</t>
  </si>
  <si>
    <t>Sandra Brown</t>
  </si>
  <si>
    <t>Concern</t>
  </si>
  <si>
    <t>Group behavior</t>
  </si>
  <si>
    <t>Richard Davis</t>
  </si>
  <si>
    <t>Doctor structure by hit</t>
  </si>
  <si>
    <t>After rest act</t>
  </si>
  <si>
    <t>Crystal Harris</t>
  </si>
  <si>
    <t>Andrew Lyons</t>
  </si>
  <si>
    <t>Other perform</t>
  </si>
  <si>
    <t>Jennifer Hall</t>
  </si>
  <si>
    <t>Hundred wear him</t>
  </si>
  <si>
    <t>Meghan Johnson</t>
  </si>
  <si>
    <t>Mr. Drew Clark Jr.</t>
  </si>
  <si>
    <t>John Perry</t>
  </si>
  <si>
    <t>Available born whom</t>
  </si>
  <si>
    <t>Kelsey Ellis</t>
  </si>
  <si>
    <t>Win</t>
  </si>
  <si>
    <t>Sharon Wilson</t>
  </si>
  <si>
    <t>Feeling year</t>
  </si>
  <si>
    <t>Brenda Gomez</t>
  </si>
  <si>
    <t>Lead</t>
  </si>
  <si>
    <t>Jordan Orozco</t>
  </si>
  <si>
    <t>Christina Buchanan</t>
  </si>
  <si>
    <t>Later per light</t>
  </si>
  <si>
    <t>Rebecca Mejia</t>
  </si>
  <si>
    <t>Middle firm</t>
  </si>
  <si>
    <t>Figure simple tax</t>
  </si>
  <si>
    <t>Eric Ramirez</t>
  </si>
  <si>
    <t>Miranda Armstrong</t>
  </si>
  <si>
    <t>Art the language</t>
  </si>
  <si>
    <t>Raymond Morris</t>
  </si>
  <si>
    <t>Out ten air</t>
  </si>
  <si>
    <t>Task author</t>
  </si>
  <si>
    <t>Stand ever</t>
  </si>
  <si>
    <t>Adam Montes</t>
  </si>
  <si>
    <t>South</t>
  </si>
  <si>
    <t>Learn cell</t>
  </si>
  <si>
    <t>Movement value</t>
  </si>
  <si>
    <t>Sort hand seem</t>
  </si>
  <si>
    <t>Lynn Pierce</t>
  </si>
  <si>
    <t>Also analysis sister</t>
  </si>
  <si>
    <t>Shannon Hunt</t>
  </si>
  <si>
    <t>Smile popular</t>
  </si>
  <si>
    <t>Richard Mata</t>
  </si>
  <si>
    <t>Strategy boy nor</t>
  </si>
  <si>
    <t>William Washington</t>
  </si>
  <si>
    <t>Item</t>
  </si>
  <si>
    <t>Kevin Fernandez</t>
  </si>
  <si>
    <t>Once create</t>
  </si>
  <si>
    <t>Bank own from</t>
  </si>
  <si>
    <t>Amanda Montgomery</t>
  </si>
  <si>
    <t>Three effort green</t>
  </si>
  <si>
    <t>Samuel Wyatt</t>
  </si>
  <si>
    <t>School last</t>
  </si>
  <si>
    <t>Three find</t>
  </si>
  <si>
    <t>Meredith Williams</t>
  </si>
  <si>
    <t>Moment quality item</t>
  </si>
  <si>
    <t>Elizabeth Lane</t>
  </si>
  <si>
    <t>Everyone add</t>
  </si>
  <si>
    <t>Dr. Edward Smith</t>
  </si>
  <si>
    <t>North several</t>
  </si>
  <si>
    <t>Book treatment run issue</t>
  </si>
  <si>
    <t>Michael Ramirez</t>
  </si>
  <si>
    <t>Safe stay</t>
  </si>
  <si>
    <t>Donald Benson</t>
  </si>
  <si>
    <t>Quite town</t>
  </si>
  <si>
    <t>Listen</t>
  </si>
  <si>
    <t>Network easy chair</t>
  </si>
  <si>
    <t>Jessica Rodriguez</t>
  </si>
  <si>
    <t>Their</t>
  </si>
  <si>
    <t>Sarah Ross</t>
  </si>
  <si>
    <t>Up security</t>
  </si>
  <si>
    <t>Rest clear</t>
  </si>
  <si>
    <t>Want voice</t>
  </si>
  <si>
    <t>Any evidence</t>
  </si>
  <si>
    <t>Jonathan Evans</t>
  </si>
  <si>
    <t>Child right</t>
  </si>
  <si>
    <t>Brian Gentry</t>
  </si>
  <si>
    <t>Others line four</t>
  </si>
  <si>
    <t>Vanessa Fox</t>
  </si>
  <si>
    <t>Type happy meeting</t>
  </si>
  <si>
    <t>Serve policy</t>
  </si>
  <si>
    <t>Down hard use source</t>
  </si>
  <si>
    <t>Firm good</t>
  </si>
  <si>
    <t>William Brooks</t>
  </si>
  <si>
    <t>Ask message</t>
  </si>
  <si>
    <t>Sheila Dunn</t>
  </si>
  <si>
    <t>Table pressure</t>
  </si>
  <si>
    <t>Role happy</t>
  </si>
  <si>
    <t>Brandon Davidson</t>
  </si>
  <si>
    <t>Develop movement</t>
  </si>
  <si>
    <t>Lisa Castro</t>
  </si>
  <si>
    <t>Section right</t>
  </si>
  <si>
    <t>Clearly huge wife</t>
  </si>
  <si>
    <t>Brittany James</t>
  </si>
  <si>
    <t>Half alone</t>
  </si>
  <si>
    <t>Joy Huber</t>
  </si>
  <si>
    <t>Jeffrey Sharp</t>
  </si>
  <si>
    <t>Animal window happy</t>
  </si>
  <si>
    <t>Wait four</t>
  </si>
  <si>
    <t>Daniel Rivera</t>
  </si>
  <si>
    <t>Sherry Turner</t>
  </si>
  <si>
    <t>Huge view make</t>
  </si>
  <si>
    <t>Stephanie Hayes</t>
  </si>
  <si>
    <t>Worry third</t>
  </si>
  <si>
    <t>David Martin</t>
  </si>
  <si>
    <t>Father carry new late</t>
  </si>
  <si>
    <t>Cameron Pineda</t>
  </si>
  <si>
    <t>Before</t>
  </si>
  <si>
    <t>Part eight</t>
  </si>
  <si>
    <t>Last he</t>
  </si>
  <si>
    <t>Color little</t>
  </si>
  <si>
    <t>As energy</t>
  </si>
  <si>
    <t>Maybe article</t>
  </si>
  <si>
    <t>Whom improve</t>
  </si>
  <si>
    <t>Reason leader create</t>
  </si>
  <si>
    <t>Person material during</t>
  </si>
  <si>
    <t>Joshua Walker</t>
  </si>
  <si>
    <t>True live</t>
  </si>
  <si>
    <t>Sign nation go</t>
  </si>
  <si>
    <t>Jamie Chavez</t>
  </si>
  <si>
    <t>Manager difficult such ball</t>
  </si>
  <si>
    <t>Then sound</t>
  </si>
  <si>
    <t>Lori Callahan</t>
  </si>
  <si>
    <t>Night industry</t>
  </si>
  <si>
    <t>Together Mrs</t>
  </si>
  <si>
    <t>Charles Lopez</t>
  </si>
  <si>
    <t>General less professor</t>
  </si>
  <si>
    <t>Lisa Atkins</t>
  </si>
  <si>
    <t>Larry Bishop</t>
  </si>
  <si>
    <t>Between cause sort</t>
  </si>
  <si>
    <t>Christian Hernandez</t>
  </si>
  <si>
    <t>Miss type</t>
  </si>
  <si>
    <t>Joshua Baker</t>
  </si>
  <si>
    <t>Isaiah French</t>
  </si>
  <si>
    <t>Style discover bar</t>
  </si>
  <si>
    <t>John Jones</t>
  </si>
  <si>
    <t>Remember instead</t>
  </si>
  <si>
    <t>Brenda Wheeler</t>
  </si>
  <si>
    <t>Strategy whose</t>
  </si>
  <si>
    <t>Olivia Ortiz</t>
  </si>
  <si>
    <t>Although ever</t>
  </si>
  <si>
    <t>Role personal customer</t>
  </si>
  <si>
    <t>Krystal Cross</t>
  </si>
  <si>
    <t>Exactly since</t>
  </si>
  <si>
    <t>Surface ball hospital</t>
  </si>
  <si>
    <t>Under water</t>
  </si>
  <si>
    <t>Traditional do</t>
  </si>
  <si>
    <t>Can bad during</t>
  </si>
  <si>
    <t>Goal care</t>
  </si>
  <si>
    <t>April Murphy</t>
  </si>
  <si>
    <t>Base keep</t>
  </si>
  <si>
    <t>Resource laugh</t>
  </si>
  <si>
    <t>Raise within</t>
  </si>
  <si>
    <t>Tracy Klein</t>
  </si>
  <si>
    <t>Maybe</t>
  </si>
  <si>
    <t>Work</t>
  </si>
  <si>
    <t>Very store together</t>
  </si>
  <si>
    <t>Child realize certain Republican</t>
  </si>
  <si>
    <t>Yard accept language</t>
  </si>
  <si>
    <t>Force</t>
  </si>
  <si>
    <t>Guy also</t>
  </si>
  <si>
    <t>But board</t>
  </si>
  <si>
    <t>Smile</t>
  </si>
  <si>
    <t>Sabrina Massey</t>
  </si>
  <si>
    <t>Key</t>
  </si>
  <si>
    <t>Sea remember myself</t>
  </si>
  <si>
    <t>Amanda Lawson</t>
  </si>
  <si>
    <t>Today bad time</t>
  </si>
  <si>
    <t>South Korea</t>
  </si>
  <si>
    <t>Bethany Rodriguez</t>
  </si>
  <si>
    <t>Model western</t>
  </si>
  <si>
    <t>Susan Farley</t>
  </si>
  <si>
    <t>Individual available</t>
  </si>
  <si>
    <t>Save moment</t>
  </si>
  <si>
    <t>Particularly price</t>
  </si>
  <si>
    <t>Sean Howard</t>
  </si>
  <si>
    <t>Becky Kerr</t>
  </si>
  <si>
    <t>Hundred</t>
  </si>
  <si>
    <t>Include machine standard</t>
  </si>
  <si>
    <t>Nicole Turner</t>
  </si>
  <si>
    <t>Often be response modern</t>
  </si>
  <si>
    <t>Nation receive ten through</t>
  </si>
  <si>
    <t>Run serve</t>
  </si>
  <si>
    <t>Paper himself fight</t>
  </si>
  <si>
    <t>Karen Robinson</t>
  </si>
  <si>
    <t>Tax every east</t>
  </si>
  <si>
    <t>Difference</t>
  </si>
  <si>
    <t>Relationship defense</t>
  </si>
  <si>
    <t>Stephanie Ferrell</t>
  </si>
  <si>
    <t>Religious teacher what</t>
  </si>
  <si>
    <t>Ronald Herrera</t>
  </si>
  <si>
    <t>Force interview fine</t>
  </si>
  <si>
    <t>Kim Watkins</t>
  </si>
  <si>
    <t>You charge</t>
  </si>
  <si>
    <t>Network off much</t>
  </si>
  <si>
    <t>Build</t>
  </si>
  <si>
    <t>Feel detail</t>
  </si>
  <si>
    <t>Alan Mullins</t>
  </si>
  <si>
    <t>Who</t>
  </si>
  <si>
    <t>Present offer kid</t>
  </si>
  <si>
    <t>West crime front</t>
  </si>
  <si>
    <t>Nicholas Murphy</t>
  </si>
  <si>
    <t>Middle environment standard</t>
  </si>
  <si>
    <t>Positive</t>
  </si>
  <si>
    <t>Jimmy Miller</t>
  </si>
  <si>
    <t>Fund why key</t>
  </si>
  <si>
    <t>Develop design</t>
  </si>
  <si>
    <t>Risk marriage</t>
  </si>
  <si>
    <t>Mouth</t>
  </si>
  <si>
    <t>Write half water</t>
  </si>
  <si>
    <t>Kelly Horn</t>
  </si>
  <si>
    <t>Daughter just simply</t>
  </si>
  <si>
    <t>Bag ago there</t>
  </si>
  <si>
    <t>Hundred term identify</t>
  </si>
  <si>
    <t>Hotel development animal</t>
  </si>
  <si>
    <t>Another activity</t>
  </si>
  <si>
    <t>Nathan Bolton</t>
  </si>
  <si>
    <t>Son thought</t>
  </si>
  <si>
    <t>Month outside</t>
  </si>
  <si>
    <t>Material name</t>
  </si>
  <si>
    <t>Seek live nature</t>
  </si>
  <si>
    <t>Donna Wagner</t>
  </si>
  <si>
    <t>Trevor Lee</t>
  </si>
  <si>
    <t>Admit</t>
  </si>
  <si>
    <t>Raise from</t>
  </si>
  <si>
    <t>Despite east law</t>
  </si>
  <si>
    <t>Morning stop front</t>
  </si>
  <si>
    <t>Experience begin</t>
  </si>
  <si>
    <t>Player hair hear partner</t>
  </si>
  <si>
    <t>Anthony Henry</t>
  </si>
  <si>
    <t>Go official</t>
  </si>
  <si>
    <t>Jorge Thompson</t>
  </si>
  <si>
    <t>Important call method</t>
  </si>
  <si>
    <t>Should although growth</t>
  </si>
  <si>
    <t>Fire focus job</t>
  </si>
  <si>
    <t>Push analysis financial wonder</t>
  </si>
  <si>
    <t>Hope guy science</t>
  </si>
  <si>
    <t>Certainly space nature</t>
  </si>
  <si>
    <t>Mark Crosby</t>
  </si>
  <si>
    <t>Same even</t>
  </si>
  <si>
    <t>Although most</t>
  </si>
  <si>
    <t>Karen Shaffer</t>
  </si>
  <si>
    <t>Themselves line</t>
  </si>
  <si>
    <t>There price condition</t>
  </si>
  <si>
    <t>John Barker</t>
  </si>
  <si>
    <t>No picture scientist</t>
  </si>
  <si>
    <t>Morgan King</t>
  </si>
  <si>
    <t>List past</t>
  </si>
  <si>
    <t>Vincent Suarez</t>
  </si>
  <si>
    <t>Maintain administration</t>
  </si>
  <si>
    <t>Melissa Lopez</t>
  </si>
  <si>
    <t>Reason</t>
  </si>
  <si>
    <t>Later law into</t>
  </si>
  <si>
    <t>Melissa Cohen</t>
  </si>
  <si>
    <t>Unit end</t>
  </si>
  <si>
    <t>Trip ready</t>
  </si>
  <si>
    <t>Black behind yes</t>
  </si>
  <si>
    <t>Jennifer Hendricks</t>
  </si>
  <si>
    <t>Agree by since</t>
  </si>
  <si>
    <t>Michael Torres</t>
  </si>
  <si>
    <t>White fine house</t>
  </si>
  <si>
    <t>Home factor front time</t>
  </si>
  <si>
    <t>Down say nature</t>
  </si>
  <si>
    <t>New customer service</t>
  </si>
  <si>
    <t>Learn race maintain</t>
  </si>
  <si>
    <t>Kathryn Stevenson</t>
  </si>
  <si>
    <t>Start road city</t>
  </si>
  <si>
    <t>Best author well</t>
  </si>
  <si>
    <t>Paul Weiss</t>
  </si>
  <si>
    <t>Generation south tough behind</t>
  </si>
  <si>
    <t>Charge very</t>
  </si>
  <si>
    <t>Dennis Perry</t>
  </si>
  <si>
    <t>Bit public them</t>
  </si>
  <si>
    <t>Christopher Green</t>
  </si>
  <si>
    <t>Begin have care</t>
  </si>
  <si>
    <t>Report glass arm</t>
  </si>
  <si>
    <t>Kathryn Hunt</t>
  </si>
  <si>
    <t>Space</t>
  </si>
  <si>
    <t>Douglas Bullock</t>
  </si>
  <si>
    <t>Foot today</t>
  </si>
  <si>
    <t>Rodney Smith</t>
  </si>
  <si>
    <t>Control sell fast</t>
  </si>
  <si>
    <t>Tara Underwood</t>
  </si>
  <si>
    <t>Material between get</t>
  </si>
  <si>
    <t>Timothy James</t>
  </si>
  <si>
    <t>My look</t>
  </si>
  <si>
    <t>Likely town</t>
  </si>
  <si>
    <t>Law prove kid</t>
  </si>
  <si>
    <t>Close piece</t>
  </si>
  <si>
    <t>Let notice my</t>
  </si>
  <si>
    <t>Store blood through</t>
  </si>
  <si>
    <t>Bring meeting</t>
  </si>
  <si>
    <t>Ronald Thompson DDS</t>
  </si>
  <si>
    <t>Assume recognize look</t>
  </si>
  <si>
    <t>Artist others</t>
  </si>
  <si>
    <t>Denise Horne</t>
  </si>
  <si>
    <t>Cup half near</t>
  </si>
  <si>
    <t>Middle can call</t>
  </si>
  <si>
    <t>Even doctor learn little</t>
  </si>
  <si>
    <t>Guy employee</t>
  </si>
  <si>
    <t>Sea much politics management</t>
  </si>
  <si>
    <t>Robert Reynolds</t>
  </si>
  <si>
    <t>Event along also</t>
  </si>
  <si>
    <t>My spend</t>
  </si>
  <si>
    <t>Samantha Sanders</t>
  </si>
  <si>
    <t>Chance interest</t>
  </si>
  <si>
    <t>Lauren Richards</t>
  </si>
  <si>
    <t>Fear article take</t>
  </si>
  <si>
    <t>Joseph Willis</t>
  </si>
  <si>
    <t>Joel Hunt</t>
  </si>
  <si>
    <t>Big television fear car</t>
  </si>
  <si>
    <t>William Prince</t>
  </si>
  <si>
    <t>Name tonight</t>
  </si>
  <si>
    <t>Brandi Moon</t>
  </si>
  <si>
    <t>Charge area</t>
  </si>
  <si>
    <t>Admit media</t>
  </si>
  <si>
    <t>Approach yard military</t>
  </si>
  <si>
    <t>Foreign night staff</t>
  </si>
  <si>
    <t>Mrs. Stephanie Palmer</t>
  </si>
  <si>
    <t>Nature avoid generation</t>
  </si>
  <si>
    <t>James Wright</t>
  </si>
  <si>
    <t>Only six</t>
  </si>
  <si>
    <t>Attention detail</t>
  </si>
  <si>
    <t>Reality thank</t>
  </si>
  <si>
    <t>Simply form case</t>
  </si>
  <si>
    <t>Jessica Gonzalez</t>
  </si>
  <si>
    <t>Manager themselves</t>
  </si>
  <si>
    <t>Theory shake</t>
  </si>
  <si>
    <t>Short here</t>
  </si>
  <si>
    <t>Jennifer Leach</t>
  </si>
  <si>
    <t>Ball allow</t>
  </si>
  <si>
    <t>New assume</t>
  </si>
  <si>
    <t>Greg Ball</t>
  </si>
  <si>
    <t>Her character</t>
  </si>
  <si>
    <t>Another behavior</t>
  </si>
  <si>
    <t>Likely cut follow feel</t>
  </si>
  <si>
    <t>Anna Vasquez</t>
  </si>
  <si>
    <t>Star painting</t>
  </si>
  <si>
    <t>Contain common</t>
  </si>
  <si>
    <t>Company president media</t>
  </si>
  <si>
    <t>Fill garden</t>
  </si>
  <si>
    <t>Man</t>
  </si>
  <si>
    <t>Small majority</t>
  </si>
  <si>
    <t>Large protect wish notice</t>
  </si>
  <si>
    <t>Recognize fine shake</t>
  </si>
  <si>
    <t>Cindy Barnes</t>
  </si>
  <si>
    <t>Him argue spend</t>
  </si>
  <si>
    <t>Elizabeth Shannon</t>
  </si>
  <si>
    <t>Pretty head</t>
  </si>
  <si>
    <t>Decide out performance</t>
  </si>
  <si>
    <t>Almost understand ever</t>
  </si>
  <si>
    <t>Trouble require positive</t>
  </si>
  <si>
    <t>Clearly value our</t>
  </si>
  <si>
    <t>Party full</t>
  </si>
  <si>
    <t>Range role fall</t>
  </si>
  <si>
    <t>Joshua Morales</t>
  </si>
  <si>
    <t>Holly Jones</t>
  </si>
  <si>
    <t>Authority</t>
  </si>
  <si>
    <t>Nicholas Williamson</t>
  </si>
  <si>
    <t>Room concern show</t>
  </si>
  <si>
    <t>Laura Wilson</t>
  </si>
  <si>
    <t>Poor Republican</t>
  </si>
  <si>
    <t>Brian Rodriguez</t>
  </si>
  <si>
    <t>Above onto</t>
  </si>
  <si>
    <t>Act thus since</t>
  </si>
  <si>
    <t>Society finally</t>
  </si>
  <si>
    <t>Three meet set</t>
  </si>
  <si>
    <t>Alone president</t>
  </si>
  <si>
    <t>Try consumer</t>
  </si>
  <si>
    <t>Eric Nelson</t>
  </si>
  <si>
    <t>Control would finally</t>
  </si>
  <si>
    <t>Best feeling protect</t>
  </si>
  <si>
    <t>Investment detail</t>
  </si>
  <si>
    <t>Live physical</t>
  </si>
  <si>
    <t>Little if result</t>
  </si>
  <si>
    <t>Bank central song</t>
  </si>
  <si>
    <t>Mrs step</t>
  </si>
  <si>
    <t>Father interesting</t>
  </si>
  <si>
    <t>Six imagine</t>
  </si>
  <si>
    <t>Present recognize reduce</t>
  </si>
  <si>
    <t>Run him never</t>
  </si>
  <si>
    <t>Samuel Bond MD</t>
  </si>
  <si>
    <t>Action model</t>
  </si>
  <si>
    <t>Any life</t>
  </si>
  <si>
    <t>May treat group senior</t>
  </si>
  <si>
    <t>Present appear see</t>
  </si>
  <si>
    <t>Case environmental loss possible</t>
  </si>
  <si>
    <t>Shannon Ross</t>
  </si>
  <si>
    <t>Continue international</t>
  </si>
  <si>
    <t>Truth increase lead</t>
  </si>
  <si>
    <t>Image paper</t>
  </si>
  <si>
    <t>Roberto Underwood</t>
  </si>
  <si>
    <t>Rock manager morning no</t>
  </si>
  <si>
    <t>Scott Anderson</t>
  </si>
  <si>
    <t>Brother article will</t>
  </si>
  <si>
    <t>Nothing significant</t>
  </si>
  <si>
    <t>Partner at choose</t>
  </si>
  <si>
    <t>Adam Williams</t>
  </si>
  <si>
    <t>Specific movie responsibility response</t>
  </si>
  <si>
    <t>Bed right</t>
  </si>
  <si>
    <t>Keep far tough</t>
  </si>
  <si>
    <t>Television nor visit</t>
  </si>
  <si>
    <t>Ok single</t>
  </si>
  <si>
    <t>Happen</t>
  </si>
  <si>
    <t>Dennis Rogers</t>
  </si>
  <si>
    <t>Keep realize its</t>
  </si>
  <si>
    <t>Perform thousand</t>
  </si>
  <si>
    <t>Common three size</t>
  </si>
  <si>
    <t>Stephen Clark</t>
  </si>
  <si>
    <t>All friend</t>
  </si>
  <si>
    <t>Thing important staff</t>
  </si>
  <si>
    <t>Derek Jones</t>
  </si>
  <si>
    <t>Even expert</t>
  </si>
  <si>
    <t>Steven Green</t>
  </si>
  <si>
    <t>Wife once task</t>
  </si>
  <si>
    <t>Nature PM</t>
  </si>
  <si>
    <t>Theresa Cooley</t>
  </si>
  <si>
    <t>Statement event</t>
  </si>
  <si>
    <t>Thing nor</t>
  </si>
  <si>
    <t>Option charge them</t>
  </si>
  <si>
    <t>Political write huge</t>
  </si>
  <si>
    <t>Jessica Scott</t>
  </si>
  <si>
    <t>Every indicate</t>
  </si>
  <si>
    <t>Leg cultural</t>
  </si>
  <si>
    <t>Practice career one</t>
  </si>
  <si>
    <t>Sell democratic indeed</t>
  </si>
  <si>
    <t>Newspaper offer</t>
  </si>
  <si>
    <t>Eric Perry</t>
  </si>
  <si>
    <t>Prevent full</t>
  </si>
  <si>
    <t>Indeed force few</t>
  </si>
  <si>
    <t>Michael Hughes</t>
  </si>
  <si>
    <t>Whether land determine</t>
  </si>
  <si>
    <t>Successful successful four</t>
  </si>
  <si>
    <t>Nicole Morales</t>
  </si>
  <si>
    <t>View leave religious</t>
  </si>
  <si>
    <t>Water somebody</t>
  </si>
  <si>
    <t>Two history four without</t>
  </si>
  <si>
    <t>Kimberly Wolf</t>
  </si>
  <si>
    <t>Some color their</t>
  </si>
  <si>
    <t>Onto language left</t>
  </si>
  <si>
    <t>Keep he</t>
  </si>
  <si>
    <t>Terry Lawrence</t>
  </si>
  <si>
    <t>Seth Johnson</t>
  </si>
  <si>
    <t>East night</t>
  </si>
  <si>
    <t>Since especially personal</t>
  </si>
  <si>
    <t>Myself individual different</t>
  </si>
  <si>
    <t>Artist recently interest on</t>
  </si>
  <si>
    <t>Exist run technology</t>
  </si>
  <si>
    <t>Meghan Mcintosh</t>
  </si>
  <si>
    <t>Quality report</t>
  </si>
  <si>
    <t>Society seat</t>
  </si>
  <si>
    <t>Threat whom</t>
  </si>
  <si>
    <t>Forget thousand case</t>
  </si>
  <si>
    <t>Clearly trip painting</t>
  </si>
  <si>
    <t>Probably election</t>
  </si>
  <si>
    <t>Threat</t>
  </si>
  <si>
    <t>Collection design</t>
  </si>
  <si>
    <t>Couple</t>
  </si>
  <si>
    <t>Use least article</t>
  </si>
  <si>
    <t>Stock score significant</t>
  </si>
  <si>
    <t>Corey Johnson</t>
  </si>
  <si>
    <t>Rise majority enter attack</t>
  </si>
  <si>
    <t>Rachel Howard</t>
  </si>
  <si>
    <t>More forward under</t>
  </si>
  <si>
    <t>Watch kitchen amount rate</t>
  </si>
  <si>
    <t>Politics lawyer</t>
  </si>
  <si>
    <t>Agency force</t>
  </si>
  <si>
    <t>Foreign lose important interview</t>
  </si>
  <si>
    <t>Imagine brother</t>
  </si>
  <si>
    <t>Involve group</t>
  </si>
  <si>
    <t>Ashley French</t>
  </si>
  <si>
    <t>Laugh rest six</t>
  </si>
  <si>
    <t>Team among</t>
  </si>
  <si>
    <t>After positive</t>
  </si>
  <si>
    <t>Mention six officer</t>
  </si>
  <si>
    <t>Worry set hot</t>
  </si>
  <si>
    <t>Stephanie Moore</t>
  </si>
  <si>
    <t>Seat product</t>
  </si>
  <si>
    <t>David Clark</t>
  </si>
  <si>
    <t>North police</t>
  </si>
  <si>
    <t>National</t>
  </si>
  <si>
    <t>Way able</t>
  </si>
  <si>
    <t>Family now trouble financial</t>
  </si>
  <si>
    <t>Order</t>
  </si>
  <si>
    <t>Toward kitchen science</t>
  </si>
  <si>
    <t>Represent</t>
  </si>
  <si>
    <t>Nature should</t>
  </si>
  <si>
    <t>Child until political</t>
  </si>
  <si>
    <t>Need morning suddenly effort</t>
  </si>
  <si>
    <t>War base</t>
  </si>
  <si>
    <t>Mission civil care law</t>
  </si>
  <si>
    <t>Activity information to</t>
  </si>
  <si>
    <t>Understand chance run</t>
  </si>
  <si>
    <t>Diana Davis</t>
  </si>
  <si>
    <t>Robert Garcia</t>
  </si>
  <si>
    <t>Simple turn policy then</t>
  </si>
  <si>
    <t>Agreement wrong</t>
  </si>
  <si>
    <t>Describe pull</t>
  </si>
  <si>
    <t>Position arrive discuss</t>
  </si>
  <si>
    <t>Door design appear</t>
  </si>
  <si>
    <t>Difficult candidate</t>
  </si>
  <si>
    <t>Rest</t>
  </si>
  <si>
    <t>Leg else</t>
  </si>
  <si>
    <t>Story at also region</t>
  </si>
  <si>
    <t>Robin Dawson</t>
  </si>
  <si>
    <t>Common toward</t>
  </si>
  <si>
    <t>Necessary much</t>
  </si>
  <si>
    <t>Involve who</t>
  </si>
  <si>
    <t>Chad Santiago</t>
  </si>
  <si>
    <t>Pretty administration</t>
  </si>
  <si>
    <t>Whose speech</t>
  </si>
  <si>
    <t>Show paper</t>
  </si>
  <si>
    <t>Throughout message</t>
  </si>
  <si>
    <t>Gabriel Mathis</t>
  </si>
  <si>
    <t>Off guy news</t>
  </si>
  <si>
    <t>Stage</t>
  </si>
  <si>
    <t>Alyssa Adams</t>
  </si>
  <si>
    <t>Point price central public</t>
  </si>
  <si>
    <t>Benefit teacher</t>
  </si>
  <si>
    <t>Day</t>
  </si>
  <si>
    <t>Mr think full</t>
  </si>
  <si>
    <t>Surface game</t>
  </si>
  <si>
    <t>Tyler Cooper</t>
  </si>
  <si>
    <t>Fire scientist</t>
  </si>
  <si>
    <t>Address cup</t>
  </si>
  <si>
    <t>City outside</t>
  </si>
  <si>
    <t>Hand always</t>
  </si>
  <si>
    <t>Amanda Rivas</t>
  </si>
  <si>
    <t>Grow president</t>
  </si>
  <si>
    <t>Increase continue somebody</t>
  </si>
  <si>
    <t>Bank much</t>
  </si>
  <si>
    <t>Red budget nothing</t>
  </si>
  <si>
    <t>Floor recent</t>
  </si>
  <si>
    <t>Monique Harris</t>
  </si>
  <si>
    <t>Involve produce</t>
  </si>
  <si>
    <t>Woman tax</t>
  </si>
  <si>
    <t>Total enough company</t>
  </si>
  <si>
    <t>Garden prepare both</t>
  </si>
  <si>
    <t>Sandra Spears</t>
  </si>
  <si>
    <t>Project</t>
  </si>
  <si>
    <t>Already mission</t>
  </si>
  <si>
    <t>Veronica Mills</t>
  </si>
  <si>
    <t>Attorney trade environment</t>
  </si>
  <si>
    <t>Foot doctor under style</t>
  </si>
  <si>
    <t>Director you</t>
  </si>
  <si>
    <t>Christopher Patterson</t>
  </si>
  <si>
    <t>Floor place</t>
  </si>
  <si>
    <t>Local medical recent</t>
  </si>
  <si>
    <t>Look fire scene</t>
  </si>
  <si>
    <t>Federal why boy</t>
  </si>
  <si>
    <t>Alexandra Benitez</t>
  </si>
  <si>
    <t>Second candidate education newspaper</t>
  </si>
  <si>
    <t>Officer child phone</t>
  </si>
  <si>
    <t>Social election once</t>
  </si>
  <si>
    <t>These economy collection success</t>
  </si>
  <si>
    <t>Drive everything</t>
  </si>
  <si>
    <t>See agency</t>
  </si>
  <si>
    <t>Among development force</t>
  </si>
  <si>
    <t>Still thus</t>
  </si>
  <si>
    <t>After offer</t>
  </si>
  <si>
    <t>Gun wear action</t>
  </si>
  <si>
    <t>See</t>
  </si>
  <si>
    <t>Price guy that</t>
  </si>
  <si>
    <t>Deal middle</t>
  </si>
  <si>
    <t>Ago TV include</t>
  </si>
  <si>
    <t>Like represent</t>
  </si>
  <si>
    <t>Nor energy</t>
  </si>
  <si>
    <t>Everybody raise</t>
  </si>
  <si>
    <t>Pass human</t>
  </si>
  <si>
    <t>Much watch cold</t>
  </si>
  <si>
    <t>Couple throw</t>
  </si>
  <si>
    <t>Culture institution ready</t>
  </si>
  <si>
    <t>Know throughout world air</t>
  </si>
  <si>
    <t>Alyssa Wolfe</t>
  </si>
  <si>
    <t>School go get</t>
  </si>
  <si>
    <t>Involve model</t>
  </si>
  <si>
    <t>Million specific social</t>
  </si>
  <si>
    <t>Others buy</t>
  </si>
  <si>
    <t>Everybody control</t>
  </si>
  <si>
    <t>Cup consider capital</t>
  </si>
  <si>
    <t>Trade score mention finally</t>
  </si>
  <si>
    <t>Different way</t>
  </si>
  <si>
    <t>Julie Hoffman</t>
  </si>
  <si>
    <t>Smile story research</t>
  </si>
  <si>
    <t>On tax</t>
  </si>
  <si>
    <t>Worry raise</t>
  </si>
  <si>
    <t>Executive pressure</t>
  </si>
  <si>
    <t>Jeffrey Haley</t>
  </si>
  <si>
    <t>Instead fact design</t>
  </si>
  <si>
    <t>Director final</t>
  </si>
  <si>
    <t>Show poor</t>
  </si>
  <si>
    <t>Finally including forget</t>
  </si>
  <si>
    <t>Consumer section</t>
  </si>
  <si>
    <t>Read perhaps customer</t>
  </si>
  <si>
    <t>Olivia Allen</t>
  </si>
  <si>
    <t>Capital room save</t>
  </si>
  <si>
    <t>Appear certain</t>
  </si>
  <si>
    <t>Piece growth add</t>
  </si>
  <si>
    <t>Class democratic</t>
  </si>
  <si>
    <t>Eye establish people</t>
  </si>
  <si>
    <t>Finish write trouble</t>
  </si>
  <si>
    <t>Security exactly</t>
  </si>
  <si>
    <t>Strong property call</t>
  </si>
  <si>
    <t>Increase probably blue</t>
  </si>
  <si>
    <t>Open base</t>
  </si>
  <si>
    <t>Today cold condition</t>
  </si>
  <si>
    <t>Whether guy</t>
  </si>
  <si>
    <t>Half strategy available</t>
  </si>
  <si>
    <t>Sharon Rodriguez</t>
  </si>
  <si>
    <t>His fly wear</t>
  </si>
  <si>
    <t>Suggest could</t>
  </si>
  <si>
    <t>End after about</t>
  </si>
  <si>
    <t>Reduce after</t>
  </si>
  <si>
    <t>Family test</t>
  </si>
  <si>
    <t>Listen mean inside matter</t>
  </si>
  <si>
    <t>Need man</t>
  </si>
  <si>
    <t>Need art man</t>
  </si>
  <si>
    <t>Subject dark road</t>
  </si>
  <si>
    <t>Maybe this through</t>
  </si>
  <si>
    <t>Dalton Johnson</t>
  </si>
  <si>
    <t>Degree visit note exactly</t>
  </si>
  <si>
    <t>Difference improve body</t>
  </si>
  <si>
    <t>Everyone art</t>
  </si>
  <si>
    <t>Logan Martin</t>
  </si>
  <si>
    <t>Real outside again</t>
  </si>
  <si>
    <t>Happen enough</t>
  </si>
  <si>
    <t>Brooke Stanley</t>
  </si>
  <si>
    <t>Activity fish above</t>
  </si>
  <si>
    <t>Challenge important</t>
  </si>
  <si>
    <t>Coach lay</t>
  </si>
  <si>
    <t>Station investment</t>
  </si>
  <si>
    <t>Value enough</t>
  </si>
  <si>
    <t>Race professional</t>
  </si>
  <si>
    <t>Rate now up</t>
  </si>
  <si>
    <t>Gun magazine</t>
  </si>
  <si>
    <t>Institution</t>
  </si>
  <si>
    <t>Fish feel</t>
  </si>
  <si>
    <t>Several share season</t>
  </si>
  <si>
    <t>Stephanie Stokes</t>
  </si>
  <si>
    <t>Difficult beautiful table</t>
  </si>
  <si>
    <t>Lay anyone</t>
  </si>
  <si>
    <t>Perform player argue</t>
  </si>
  <si>
    <t>Group can security line</t>
  </si>
  <si>
    <t>Since close power whatever</t>
  </si>
  <si>
    <t>Sign only such</t>
  </si>
  <si>
    <t>Tax former</t>
  </si>
  <si>
    <t>According something become</t>
  </si>
  <si>
    <t>Certain partner trial</t>
  </si>
  <si>
    <t>Space contain</t>
  </si>
  <si>
    <t>These democratic</t>
  </si>
  <si>
    <t>Live really form</t>
  </si>
  <si>
    <t>Town every remember</t>
  </si>
  <si>
    <t>Candidate</t>
  </si>
  <si>
    <t>Learn community</t>
  </si>
  <si>
    <t>Threat range</t>
  </si>
  <si>
    <t>Care knowledge</t>
  </si>
  <si>
    <t>How both</t>
  </si>
  <si>
    <t>Chair interest education</t>
  </si>
  <si>
    <t>Professional job security</t>
  </si>
  <si>
    <t>Pm wind</t>
  </si>
  <si>
    <t>Growth</t>
  </si>
  <si>
    <t>Environmental million</t>
  </si>
  <si>
    <t>Tax left</t>
  </si>
  <si>
    <t>Event else</t>
  </si>
  <si>
    <t>Record road fine</t>
  </si>
  <si>
    <t>Country firm student air</t>
  </si>
  <si>
    <t>Concern citizen economy</t>
  </si>
  <si>
    <t>Store send maybe</t>
  </si>
  <si>
    <t>Without to</t>
  </si>
  <si>
    <t>May question father</t>
  </si>
  <si>
    <t>Gas account memory</t>
  </si>
  <si>
    <t>Energy next</t>
  </si>
  <si>
    <t>Increase move seat</t>
  </si>
  <si>
    <t>Shoulder project see</t>
  </si>
  <si>
    <t>Lead option</t>
  </si>
  <si>
    <t>Response information</t>
  </si>
  <si>
    <t>Spend government</t>
  </si>
  <si>
    <t>Chance skin tell</t>
  </si>
  <si>
    <t>Drug wish</t>
  </si>
  <si>
    <t>Type Congress</t>
  </si>
  <si>
    <t>They to</t>
  </si>
  <si>
    <t>Jeffrey Jenkins</t>
  </si>
  <si>
    <t>Parent determine part</t>
  </si>
  <si>
    <t>Another already draw</t>
  </si>
  <si>
    <t>Any</t>
  </si>
  <si>
    <t>Down yourself grow street</t>
  </si>
  <si>
    <t>Network head</t>
  </si>
  <si>
    <t>Community young hit</t>
  </si>
  <si>
    <t>Choose still serve</t>
  </si>
  <si>
    <t>Brenda Guerrero</t>
  </si>
  <si>
    <t>Probably behavior</t>
  </si>
  <si>
    <t>Forget study some</t>
  </si>
  <si>
    <t>Pressure and</t>
  </si>
  <si>
    <t>Throw sea find</t>
  </si>
  <si>
    <t>End</t>
  </si>
  <si>
    <t>Approach behavior discover</t>
  </si>
  <si>
    <t>So staff</t>
  </si>
  <si>
    <t>Marc Vasquez</t>
  </si>
  <si>
    <t>So stuff</t>
  </si>
  <si>
    <t>Entire daughter</t>
  </si>
  <si>
    <t>Pay hit beyond</t>
  </si>
  <si>
    <t>John Sullivan</t>
  </si>
  <si>
    <t>Firm lot</t>
  </si>
  <si>
    <t>Beautiful human church</t>
  </si>
  <si>
    <t>Far investment risk</t>
  </si>
  <si>
    <t>From Republican maybe you</t>
  </si>
  <si>
    <t>National small including</t>
  </si>
  <si>
    <t>Study full war</t>
  </si>
  <si>
    <t>So concern feeling rich</t>
  </si>
  <si>
    <t>Gun firm</t>
  </si>
  <si>
    <t>Compare edge</t>
  </si>
  <si>
    <t>Deep draw record</t>
  </si>
  <si>
    <t>Science Republican floor six</t>
  </si>
  <si>
    <t>Johnathan Chen</t>
  </si>
  <si>
    <t>Amount style win</t>
  </si>
  <si>
    <t>Institution present contain sort</t>
  </si>
  <si>
    <t>Monica Nelson MD</t>
  </si>
  <si>
    <t>Wish save</t>
  </si>
  <si>
    <t>Free at hold</t>
  </si>
  <si>
    <t>Film word if meeting</t>
  </si>
  <si>
    <t>Issue me fly</t>
  </si>
  <si>
    <t>Family before decide</t>
  </si>
  <si>
    <t>Specific your consumer</t>
  </si>
  <si>
    <t>Citizen movie year</t>
  </si>
  <si>
    <t>According assume figure</t>
  </si>
  <si>
    <t>Term stage central</t>
  </si>
  <si>
    <t>Would</t>
  </si>
  <si>
    <t>Why team program</t>
  </si>
  <si>
    <t>She bag</t>
  </si>
  <si>
    <t>Rather glass determine</t>
  </si>
  <si>
    <t>Skill</t>
  </si>
  <si>
    <t>Expect heavy smile</t>
  </si>
  <si>
    <t>Look</t>
  </si>
  <si>
    <t>Opportunity hotel mention</t>
  </si>
  <si>
    <t>Someone</t>
  </si>
  <si>
    <t>Thing analysis wrong magazine</t>
  </si>
  <si>
    <t>Again since suffer</t>
  </si>
  <si>
    <t>Be whose way</t>
  </si>
  <si>
    <t>Else off</t>
  </si>
  <si>
    <t>Operation maintain today</t>
  </si>
  <si>
    <t>Bad baby write</t>
  </si>
  <si>
    <t>Hope</t>
  </si>
  <si>
    <t>Onto rise</t>
  </si>
  <si>
    <t>Individual or likely option</t>
  </si>
  <si>
    <t>Thousand baby</t>
  </si>
  <si>
    <t>Address line arm</t>
  </si>
  <si>
    <t>Argue operation</t>
  </si>
  <si>
    <t>Under deep situation</t>
  </si>
  <si>
    <t>Then tough</t>
  </si>
  <si>
    <t>Dream when</t>
  </si>
  <si>
    <t>Reach</t>
  </si>
  <si>
    <t>Process several accept</t>
  </si>
  <si>
    <t>Whose ten</t>
  </si>
  <si>
    <t>Community imagine</t>
  </si>
  <si>
    <t>Maybe of</t>
  </si>
  <si>
    <t>Fight life positive</t>
  </si>
  <si>
    <t>Section major</t>
  </si>
  <si>
    <t>Suffer two</t>
  </si>
  <si>
    <t>Personal agent low</t>
  </si>
  <si>
    <t>Brandon Green</t>
  </si>
  <si>
    <t>Figure my painting</t>
  </si>
  <si>
    <t>Tracy Williams</t>
  </si>
  <si>
    <t>When list she politics</t>
  </si>
  <si>
    <t>Challenge parent than</t>
  </si>
  <si>
    <t>Like old</t>
  </si>
  <si>
    <t>Jonathan Lee</t>
  </si>
  <si>
    <t>Speech</t>
  </si>
  <si>
    <t>Position of nation</t>
  </si>
  <si>
    <t>Approach consumer front</t>
  </si>
  <si>
    <t>Get mean show</t>
  </si>
  <si>
    <t>Safe adult price</t>
  </si>
  <si>
    <t>Marissa Pena</t>
  </si>
  <si>
    <t>Short always</t>
  </si>
  <si>
    <t>Pay light season truth</t>
  </si>
  <si>
    <t>Smile couple</t>
  </si>
  <si>
    <t>Plant discuss theory believe</t>
  </si>
  <si>
    <t>Worry marriage number</t>
  </si>
  <si>
    <t>Let mouth</t>
  </si>
  <si>
    <t>Century mouth</t>
  </si>
  <si>
    <t>White class reduce</t>
  </si>
  <si>
    <t>Another face</t>
  </si>
  <si>
    <t>See rise</t>
  </si>
  <si>
    <t>Own</t>
  </si>
  <si>
    <t>Expert theory step</t>
  </si>
  <si>
    <t>Itself grow return police</t>
  </si>
  <si>
    <t>Stay reveal</t>
  </si>
  <si>
    <t>Something history</t>
  </si>
  <si>
    <t>Ever treat</t>
  </si>
  <si>
    <t>Play establish</t>
  </si>
  <si>
    <t>Jason Ramos</t>
  </si>
  <si>
    <t>Positive once</t>
  </si>
  <si>
    <t>According parent</t>
  </si>
  <si>
    <t>Air wrong</t>
  </si>
  <si>
    <t>Model live</t>
  </si>
  <si>
    <t>Performance else data conference</t>
  </si>
  <si>
    <t>Design teacher administration</t>
  </si>
  <si>
    <t>Run foreign</t>
  </si>
  <si>
    <t>Smile deal investment pay</t>
  </si>
  <si>
    <t>Center identify</t>
  </si>
  <si>
    <t>Research join</t>
  </si>
  <si>
    <t>Country picture</t>
  </si>
  <si>
    <t>Help base</t>
  </si>
  <si>
    <t>Current successful</t>
  </si>
  <si>
    <t>Prepare yet take</t>
  </si>
  <si>
    <t>Take operation</t>
  </si>
  <si>
    <t>Court discuss almost</t>
  </si>
  <si>
    <t>Weight budget</t>
  </si>
  <si>
    <t>Teacher those</t>
  </si>
  <si>
    <t>Candidate attorney level sure</t>
  </si>
  <si>
    <t>Bed land there</t>
  </si>
  <si>
    <t>Sit receive</t>
  </si>
  <si>
    <t>Computer concern</t>
  </si>
  <si>
    <t>Note six though</t>
  </si>
  <si>
    <t>Option budget themselves professional</t>
  </si>
  <si>
    <t>Shake</t>
  </si>
  <si>
    <t>Major follow series</t>
  </si>
  <si>
    <t>Throw over</t>
  </si>
  <si>
    <t>Various clearly</t>
  </si>
  <si>
    <t>Bar kind right</t>
  </si>
  <si>
    <t>Production thank</t>
  </si>
  <si>
    <t>Sign other</t>
  </si>
  <si>
    <t>Join song</t>
  </si>
  <si>
    <t>Page institution someone</t>
  </si>
  <si>
    <t>Christina Jones</t>
  </si>
  <si>
    <t>Prevent truth</t>
  </si>
  <si>
    <t>Throw</t>
  </si>
  <si>
    <t>First day exactly</t>
  </si>
  <si>
    <t>Time level</t>
  </si>
  <si>
    <t>Conference region</t>
  </si>
  <si>
    <t>Go summer</t>
  </si>
  <si>
    <t>Final thank key</t>
  </si>
  <si>
    <t>Window difference maybe</t>
  </si>
  <si>
    <t>Lot operation</t>
  </si>
  <si>
    <t>Walk</t>
  </si>
  <si>
    <t>Such employee</t>
  </si>
  <si>
    <t>Common see</t>
  </si>
  <si>
    <t>They music</t>
  </si>
  <si>
    <t>Hotel possible</t>
  </si>
  <si>
    <t>Company</t>
  </si>
  <si>
    <t>Fire defense painting</t>
  </si>
  <si>
    <t>Break his white</t>
  </si>
  <si>
    <t>Real personal sign arm</t>
  </si>
  <si>
    <t>Door network</t>
  </si>
  <si>
    <t>Subject environment</t>
  </si>
  <si>
    <t>Current boy crime</t>
  </si>
  <si>
    <t>Positive project</t>
  </si>
  <si>
    <t>Industry house note</t>
  </si>
  <si>
    <t>Though firm almost</t>
  </si>
  <si>
    <t>Population section</t>
  </si>
  <si>
    <t>Majority realize</t>
  </si>
  <si>
    <t>Choice four line</t>
  </si>
  <si>
    <t>Customer year</t>
  </si>
  <si>
    <t>Choice like lot</t>
  </si>
  <si>
    <t>Not himself rule</t>
  </si>
  <si>
    <t>Either teach letter</t>
  </si>
  <si>
    <t>Hope experience</t>
  </si>
  <si>
    <t>War address tough</t>
  </si>
  <si>
    <t>Anyone black father</t>
  </si>
  <si>
    <t>Force budget expert</t>
  </si>
  <si>
    <t>Finally more design</t>
  </si>
  <si>
    <t>Form</t>
  </si>
  <si>
    <t>Lot significant gun</t>
  </si>
  <si>
    <t>Situation eye remember</t>
  </si>
  <si>
    <t>Thousand hear always</t>
  </si>
  <si>
    <t>Size interesting</t>
  </si>
  <si>
    <t>Energy significant</t>
  </si>
  <si>
    <t>Build high</t>
  </si>
  <si>
    <t>Beat</t>
  </si>
  <si>
    <t>Find imagine</t>
  </si>
  <si>
    <t>Son very</t>
  </si>
  <si>
    <t>Product general everyone</t>
  </si>
  <si>
    <t>Land culture</t>
  </si>
  <si>
    <t>Industry instead</t>
  </si>
  <si>
    <t>Camera know knowledge</t>
  </si>
  <si>
    <t>Body thought</t>
  </si>
  <si>
    <t>Gina Fernandez</t>
  </si>
  <si>
    <t>Mean structure</t>
  </si>
  <si>
    <t>Adam Bowman</t>
  </si>
  <si>
    <t>According participant thing exactly</t>
  </si>
  <si>
    <t>Specific soldier street</t>
  </si>
  <si>
    <t>Bit reason successful</t>
  </si>
  <si>
    <t>Improve painting story</t>
  </si>
  <si>
    <t>End nature</t>
  </si>
  <si>
    <t>Gun country natural</t>
  </si>
  <si>
    <t>Physical themselves money</t>
  </si>
  <si>
    <t>Treat</t>
  </si>
  <si>
    <t>Born very save</t>
  </si>
  <si>
    <t>Wide fill practice</t>
  </si>
  <si>
    <t>Likely care</t>
  </si>
  <si>
    <t>Right friend light</t>
  </si>
  <si>
    <t>Over cover</t>
  </si>
  <si>
    <t>Week maybe</t>
  </si>
  <si>
    <t>Others part</t>
  </si>
  <si>
    <t>Nothing source forward</t>
  </si>
  <si>
    <t>Draw choose seat</t>
  </si>
  <si>
    <t>Left enough occur</t>
  </si>
  <si>
    <t>Forward number</t>
  </si>
  <si>
    <t>Stuff way small</t>
  </si>
  <si>
    <t>Heather Allison</t>
  </si>
  <si>
    <t>Song above yourself</t>
  </si>
  <si>
    <t>May option</t>
  </si>
  <si>
    <t>Close less Republican</t>
  </si>
  <si>
    <t>Fear Democrat voice</t>
  </si>
  <si>
    <t>Office strong</t>
  </si>
  <si>
    <t>Long explain arrive</t>
  </si>
  <si>
    <t>Put perhaps song</t>
  </si>
  <si>
    <t>Casey Briggs</t>
  </si>
  <si>
    <t>There spring teach</t>
  </si>
  <si>
    <t>Two daughter</t>
  </si>
  <si>
    <t>Huge respond and</t>
  </si>
  <si>
    <t>Spend fire value</t>
  </si>
  <si>
    <t>Letter memory</t>
  </si>
  <si>
    <t>Wait opportunity management</t>
  </si>
  <si>
    <t>People like wear</t>
  </si>
  <si>
    <t>Manuel Benton</t>
  </si>
  <si>
    <t>Specific author charge</t>
  </si>
  <si>
    <t>Courtney Butler</t>
  </si>
  <si>
    <t>Throw point relationship</t>
  </si>
  <si>
    <t>Figure television wrong</t>
  </si>
  <si>
    <t>It face necessary news</t>
  </si>
  <si>
    <t>Difference moment</t>
  </si>
  <si>
    <t>Over test</t>
  </si>
  <si>
    <t>Option series</t>
  </si>
  <si>
    <t>Agreement</t>
  </si>
  <si>
    <t>Suddenly candidate give</t>
  </si>
  <si>
    <t>Forget perhaps test different</t>
  </si>
  <si>
    <t>Offer president network</t>
  </si>
  <si>
    <t>Car debate</t>
  </si>
  <si>
    <t>Every energy actually</t>
  </si>
  <si>
    <t>Site lead</t>
  </si>
  <si>
    <t>Discussion lose</t>
  </si>
  <si>
    <t>What act</t>
  </si>
  <si>
    <t>Central star</t>
  </si>
  <si>
    <t>Meeting drive</t>
  </si>
  <si>
    <t>No approach</t>
  </si>
  <si>
    <t xml:space="preserve">Total Budget </t>
  </si>
  <si>
    <t>Total Global Box Office</t>
  </si>
  <si>
    <t>Total Opening Day Sales</t>
  </si>
  <si>
    <t>Total Opening Week Sales</t>
  </si>
  <si>
    <t>MONEY</t>
  </si>
  <si>
    <t>Highest IMDB Rating</t>
  </si>
  <si>
    <t>Lowest IMDB Rating</t>
  </si>
  <si>
    <t>Avg IMDB Rating</t>
  </si>
  <si>
    <t>IMDB RATING</t>
  </si>
  <si>
    <t>Total Movies</t>
  </si>
  <si>
    <t>Highest Global Box Office Movie</t>
  </si>
  <si>
    <t>Biggest Budget Movie</t>
  </si>
  <si>
    <t>12 movies</t>
  </si>
  <si>
    <t>1. Middle firm</t>
  </si>
  <si>
    <t>3. Another activity</t>
  </si>
  <si>
    <t>2. Hundred term identify</t>
  </si>
  <si>
    <t>4. Second candidate education newspaper</t>
  </si>
  <si>
    <t>5. Try consumer</t>
  </si>
  <si>
    <t>6. Like represent</t>
  </si>
  <si>
    <t>7. Up instead avoid</t>
  </si>
  <si>
    <t>8. Hundred wear him</t>
  </si>
  <si>
    <t>9. Shake</t>
  </si>
  <si>
    <t>10. Challenge important</t>
  </si>
  <si>
    <t>11. Nature should</t>
  </si>
  <si>
    <t>12. Choice like lot</t>
  </si>
  <si>
    <t>Highest IMDB Rating Movie(s)</t>
  </si>
  <si>
    <t>Most Appearing Genre</t>
  </si>
  <si>
    <t>Country producing the most movies</t>
  </si>
  <si>
    <t>Profit</t>
  </si>
  <si>
    <t>ROI</t>
  </si>
  <si>
    <t>Hit/Flop</t>
  </si>
  <si>
    <t>Total Budget</t>
  </si>
  <si>
    <t>Average IMDb Rating</t>
  </si>
  <si>
    <t>Highest Grossing Movie</t>
  </si>
  <si>
    <t>Best Rated Movie</t>
  </si>
  <si>
    <t>Total</t>
  </si>
  <si>
    <t>Movies by Country</t>
  </si>
  <si>
    <t>Movies By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</si>
</sst>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$&quot;#,##0.00"/>
    <numFmt numFmtId="165" formatCode="0.0"/>
    <numFmt numFmtId="166" formatCode="&quot;$&quot;#,##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4" borderId="10" xfId="0" applyFill="1" applyBorder="1"/>
    <xf numFmtId="0" fontId="0" fillId="36" borderId="10" xfId="0" applyFill="1" applyBorder="1"/>
    <xf numFmtId="0" fontId="0" fillId="39" borderId="10" xfId="0" applyFill="1" applyBorder="1"/>
    <xf numFmtId="0" fontId="0" fillId="38" borderId="10" xfId="0" applyFill="1" applyBorder="1"/>
    <xf numFmtId="165" fontId="0" fillId="39" borderId="10" xfId="0" applyNumberFormat="1" applyFill="1" applyBorder="1"/>
    <xf numFmtId="0" fontId="18" fillId="41" borderId="10" xfId="0" applyFont="1" applyFill="1" applyBorder="1"/>
    <xf numFmtId="164" fontId="20" fillId="35" borderId="10" xfId="0" applyNumberFormat="1" applyFont="1" applyFill="1" applyBorder="1"/>
    <xf numFmtId="0" fontId="0" fillId="33" borderId="10" xfId="0" applyFill="1" applyBorder="1"/>
    <xf numFmtId="0" fontId="0" fillId="35" borderId="10" xfId="0" applyFill="1" applyBorder="1"/>
    <xf numFmtId="6" fontId="0" fillId="0" borderId="0" xfId="0" applyNumberFormat="1"/>
    <xf numFmtId="0" fontId="0" fillId="35" borderId="0" xfId="0" applyFill="1"/>
    <xf numFmtId="0" fontId="0" fillId="44" borderId="0" xfId="0" applyFill="1"/>
    <xf numFmtId="10" fontId="0" fillId="0" borderId="0" xfId="0" applyNumberFormat="1"/>
    <xf numFmtId="0" fontId="0" fillId="0" borderId="0" xfId="0" quotePrefix="1"/>
    <xf numFmtId="0" fontId="25" fillId="43" borderId="10" xfId="0" applyFont="1" applyFill="1" applyBorder="1"/>
    <xf numFmtId="166" fontId="25" fillId="43" borderId="10" xfId="0" applyNumberFormat="1" applyFont="1" applyFill="1" applyBorder="1"/>
    <xf numFmtId="0" fontId="22" fillId="35" borderId="10" xfId="0" applyFont="1" applyFill="1" applyBorder="1"/>
    <xf numFmtId="0" fontId="22" fillId="34" borderId="10" xfId="0" applyFont="1" applyFill="1" applyBorder="1"/>
    <xf numFmtId="0" fontId="22" fillId="39" borderId="10" xfId="0" applyFont="1" applyFill="1" applyBorder="1"/>
    <xf numFmtId="0" fontId="22" fillId="38" borderId="11" xfId="0" applyFont="1" applyFill="1" applyBorder="1"/>
    <xf numFmtId="0" fontId="25" fillId="43" borderId="12" xfId="0" applyFont="1" applyFill="1" applyBorder="1"/>
    <xf numFmtId="0" fontId="22" fillId="0" borderId="0" xfId="0" applyFont="1"/>
    <xf numFmtId="0" fontId="22" fillId="42" borderId="10" xfId="0" applyFont="1" applyFill="1" applyBorder="1"/>
    <xf numFmtId="0" fontId="0" fillId="47" borderId="15" xfId="0" applyFill="1" applyBorder="1"/>
    <xf numFmtId="0" fontId="0" fillId="47" borderId="16" xfId="0" applyFill="1" applyBorder="1"/>
    <xf numFmtId="0" fontId="0" fillId="47" borderId="17" xfId="0" applyFill="1" applyBorder="1"/>
    <xf numFmtId="0" fontId="0" fillId="47" borderId="18" xfId="0" applyFill="1" applyBorder="1"/>
    <xf numFmtId="0" fontId="0" fillId="47" borderId="22" xfId="0" applyFill="1" applyBorder="1"/>
    <xf numFmtId="0" fontId="0" fillId="47" borderId="23" xfId="0" applyFill="1" applyBorder="1"/>
    <xf numFmtId="0" fontId="18" fillId="48" borderId="13" xfId="0" applyFont="1" applyFill="1" applyBorder="1"/>
    <xf numFmtId="0" fontId="18" fillId="48" borderId="15" xfId="0" applyFont="1" applyFill="1" applyBorder="1"/>
    <xf numFmtId="164" fontId="22" fillId="49" borderId="16" xfId="0" applyNumberFormat="1" applyFont="1" applyFill="1" applyBorder="1"/>
    <xf numFmtId="2" fontId="22" fillId="49" borderId="16" xfId="0" applyNumberFormat="1" applyFont="1" applyFill="1" applyBorder="1"/>
    <xf numFmtId="0" fontId="18" fillId="48" borderId="17" xfId="0" applyFont="1" applyFill="1" applyBorder="1"/>
    <xf numFmtId="0" fontId="22" fillId="49" borderId="18" xfId="0" applyFont="1" applyFill="1" applyBorder="1"/>
    <xf numFmtId="0" fontId="23" fillId="46" borderId="24" xfId="0" applyFont="1" applyFill="1" applyBorder="1"/>
    <xf numFmtId="0" fontId="21" fillId="45" borderId="31" xfId="0" applyFont="1" applyFill="1" applyBorder="1"/>
    <xf numFmtId="0" fontId="21" fillId="45" borderId="32" xfId="0" applyFont="1" applyFill="1" applyBorder="1"/>
    <xf numFmtId="0" fontId="0" fillId="38" borderId="22" xfId="0" applyFill="1" applyBorder="1"/>
    <xf numFmtId="0" fontId="0" fillId="38" borderId="23" xfId="0" applyFill="1" applyBorder="1"/>
    <xf numFmtId="0" fontId="0" fillId="38" borderId="15" xfId="0" applyFill="1" applyBorder="1"/>
    <xf numFmtId="0" fontId="0" fillId="38" borderId="16" xfId="0" applyFill="1" applyBorder="1"/>
    <xf numFmtId="0" fontId="0" fillId="38" borderId="17" xfId="0" applyFill="1" applyBorder="1"/>
    <xf numFmtId="0" fontId="0" fillId="38" borderId="18" xfId="0" applyFill="1" applyBorder="1"/>
    <xf numFmtId="0" fontId="22" fillId="47" borderId="14" xfId="0" applyFont="1" applyFill="1" applyBorder="1"/>
    <xf numFmtId="164" fontId="22" fillId="47" borderId="16" xfId="0" applyNumberFormat="1" applyFont="1" applyFill="1" applyBorder="1"/>
    <xf numFmtId="0" fontId="22" fillId="47" borderId="16" xfId="0" applyFont="1" applyFill="1" applyBorder="1"/>
    <xf numFmtId="0" fontId="26" fillId="40" borderId="27" xfId="0" applyFont="1" applyFill="1" applyBorder="1" applyAlignment="1">
      <alignment horizontal="center"/>
    </xf>
    <xf numFmtId="0" fontId="26" fillId="40" borderId="28" xfId="0" applyFont="1" applyFill="1" applyBorder="1" applyAlignment="1">
      <alignment horizontal="center"/>
    </xf>
    <xf numFmtId="0" fontId="26" fillId="40" borderId="29" xfId="0" applyFont="1" applyFill="1" applyBorder="1" applyAlignment="1">
      <alignment horizontal="center"/>
    </xf>
    <xf numFmtId="0" fontId="26" fillId="40" borderId="30" xfId="0" applyFont="1" applyFill="1" applyBorder="1" applyAlignment="1">
      <alignment horizontal="center"/>
    </xf>
    <xf numFmtId="0" fontId="24" fillId="38" borderId="25" xfId="0" applyFont="1" applyFill="1" applyBorder="1" applyAlignment="1">
      <alignment horizontal="center"/>
    </xf>
    <xf numFmtId="0" fontId="0" fillId="38" borderId="26" xfId="0" applyFill="1" applyBorder="1" applyAlignment="1">
      <alignment horizontal="center"/>
    </xf>
    <xf numFmtId="0" fontId="19" fillId="37" borderId="19" xfId="0" applyFont="1" applyFill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0" fillId="37" borderId="21" xfId="0" applyFill="1" applyBorder="1" applyAlignment="1">
      <alignment horizontal="center"/>
    </xf>
    <xf numFmtId="0" fontId="0" fillId="0" borderId="0" xfId="0" applyAlignment="1">
      <alignment horizontal="center"/>
    </xf>
    <xf numFmtId="0" fontId="19" fillId="40" borderId="19" xfId="0" applyFont="1" applyFill="1" applyBorder="1" applyAlignment="1">
      <alignment horizontal="center"/>
    </xf>
    <xf numFmtId="0" fontId="16" fillId="40" borderId="20" xfId="0" applyFont="1" applyFill="1" applyBorder="1" applyAlignment="1">
      <alignment horizontal="center"/>
    </xf>
    <xf numFmtId="0" fontId="16" fillId="40" borderId="2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2060"/>
                </a:solidFill>
              </a:rPr>
              <a:t>Movies By Genre</a:t>
            </a:r>
          </a:p>
        </c:rich>
      </c:tx>
      <c:layout>
        <c:manualLayout>
          <c:xMode val="edge"/>
          <c:yMode val="edge"/>
          <c:x val="0.24359980343106441"/>
          <c:y val="3.6273964112339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Dashboard!$D$3:$D$12</c:f>
              <c:strCache>
                <c:ptCount val="10"/>
                <c:pt idx="0">
                  <c:v>Movies By Genre</c:v>
                </c:pt>
                <c:pt idx="2">
                  <c:v>Action</c:v>
                </c:pt>
                <c:pt idx="3">
                  <c:v>Comedy</c:v>
                </c:pt>
                <c:pt idx="4">
                  <c:v>Documentary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Dashboard!$E$3:$E$12</c:f>
              <c:numCache>
                <c:formatCode>General</c:formatCode>
                <c:ptCount val="10"/>
                <c:pt idx="2">
                  <c:v>148</c:v>
                </c:pt>
                <c:pt idx="3">
                  <c:v>205</c:v>
                </c:pt>
                <c:pt idx="4">
                  <c:v>54</c:v>
                </c:pt>
                <c:pt idx="5">
                  <c:v>248</c:v>
                </c:pt>
                <c:pt idx="6">
                  <c:v>90</c:v>
                </c:pt>
                <c:pt idx="7">
                  <c:v>100</c:v>
                </c:pt>
                <c:pt idx="8">
                  <c:v>44</c:v>
                </c:pt>
                <c:pt idx="9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0-4B52-A5E6-BB0088C777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0964544"/>
        <c:axId val="1424724176"/>
      </c:barChart>
      <c:catAx>
        <c:axId val="116096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724176"/>
        <c:crosses val="autoZero"/>
        <c:auto val="1"/>
        <c:lblAlgn val="ctr"/>
        <c:lblOffset val="100"/>
        <c:noMultiLvlLbl val="0"/>
      </c:catAx>
      <c:valAx>
        <c:axId val="142472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6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002060"/>
                </a:solidFill>
              </a:rPr>
              <a:t>Movies</a:t>
            </a:r>
            <a:r>
              <a:rPr lang="en-US" sz="2000" b="1" baseline="0">
                <a:solidFill>
                  <a:srgbClr val="002060"/>
                </a:solidFill>
              </a:rPr>
              <a:t> Produced by Country</a:t>
            </a:r>
            <a:endParaRPr lang="en-US" sz="20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5921522309711286"/>
          <c:y val="2.8551527075802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Dashboard!$H$3:$H$13</c:f>
              <c:strCache>
                <c:ptCount val="11"/>
                <c:pt idx="0">
                  <c:v>Movies by Country</c:v>
                </c:pt>
                <c:pt idx="1">
                  <c:v>China</c:v>
                </c:pt>
                <c:pt idx="2">
                  <c:v>France</c:v>
                </c:pt>
                <c:pt idx="3">
                  <c:v>Canada</c:v>
                </c:pt>
                <c:pt idx="4">
                  <c:v>Australia</c:v>
                </c:pt>
                <c:pt idx="5">
                  <c:v>Germany</c:v>
                </c:pt>
                <c:pt idx="6">
                  <c:v>India</c:v>
                </c:pt>
                <c:pt idx="7">
                  <c:v>Japan</c:v>
                </c:pt>
                <c:pt idx="8">
                  <c:v>South Korea</c:v>
                </c:pt>
                <c:pt idx="9">
                  <c:v>USA</c:v>
                </c:pt>
                <c:pt idx="10">
                  <c:v>UK</c:v>
                </c:pt>
              </c:strCache>
            </c:strRef>
          </c:cat>
          <c:val>
            <c:numRef>
              <c:f>Dashboard!$I$3:$I$13</c:f>
              <c:numCache>
                <c:formatCode>General</c:formatCode>
                <c:ptCount val="11"/>
                <c:pt idx="1">
                  <c:v>31</c:v>
                </c:pt>
                <c:pt idx="2">
                  <c:v>24</c:v>
                </c:pt>
                <c:pt idx="3">
                  <c:v>42</c:v>
                </c:pt>
                <c:pt idx="4">
                  <c:v>26</c:v>
                </c:pt>
                <c:pt idx="5">
                  <c:v>12</c:v>
                </c:pt>
                <c:pt idx="6">
                  <c:v>58</c:v>
                </c:pt>
                <c:pt idx="7">
                  <c:v>20</c:v>
                </c:pt>
                <c:pt idx="8">
                  <c:v>10</c:v>
                </c:pt>
                <c:pt idx="9">
                  <c:v>772</c:v>
                </c:pt>
                <c:pt idx="1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6-4662-9290-BDB5DB9BA0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0067712"/>
        <c:axId val="661977488"/>
      </c:barChart>
      <c:catAx>
        <c:axId val="110006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77488"/>
        <c:crosses val="autoZero"/>
        <c:auto val="1"/>
        <c:lblAlgn val="ctr"/>
        <c:lblOffset val="100"/>
        <c:noMultiLvlLbl val="0"/>
      </c:catAx>
      <c:valAx>
        <c:axId val="66197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06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16914</xdr:colOff>
      <xdr:row>15</xdr:row>
      <xdr:rowOff>11336</xdr:rowOff>
    </xdr:from>
    <xdr:to>
      <xdr:col>6</xdr:col>
      <xdr:colOff>184553</xdr:colOff>
      <xdr:row>30</xdr:row>
      <xdr:rowOff>15146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A4A08B-E9ED-17C2-3637-B5F78D2D1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1629749</xdr:colOff>
      <xdr:row>12</xdr:row>
      <xdr:rowOff>64491</xdr:rowOff>
    </xdr:from>
    <xdr:to>
      <xdr:col>4</xdr:col>
      <xdr:colOff>46463</xdr:colOff>
      <xdr:row>14</xdr:row>
      <xdr:rowOff>102220</xdr:rowOff>
    </xdr:to>
    <xdr:cxnSp macro="">
      <xdr:nvCxnSpPr>
        <xdr:cNvPr id="6" name="Connector: Curved 5">
          <a:extLst>
            <a:ext uri="{FF2B5EF4-FFF2-40B4-BE49-F238E27FC236}">
              <a16:creationId xmlns:a16="http://schemas.microsoft.com/office/drawing/2014/main" id="{6DDC4881-06CF-EE37-CD3A-0D766C90D0BC}"/>
            </a:ext>
          </a:extLst>
        </xdr:cNvPr>
        <xdr:cNvCxnSpPr/>
      </xdr:nvCxnSpPr>
      <xdr:spPr>
        <a:xfrm>
          <a:off x="6480529" y="2638564"/>
          <a:ext cx="637666" cy="511656"/>
        </a:xfrm>
        <a:prstGeom prst="curved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1059365</xdr:colOff>
      <xdr:row>13</xdr:row>
      <xdr:rowOff>46463</xdr:rowOff>
    </xdr:from>
    <xdr:to>
      <xdr:col>8</xdr:col>
      <xdr:colOff>111511</xdr:colOff>
      <xdr:row>14</xdr:row>
      <xdr:rowOff>120804</xdr:rowOff>
    </xdr:to>
    <xdr:cxnSp macro="">
      <xdr:nvCxnSpPr>
        <xdr:cNvPr id="7" name="Connector: Curved 6">
          <a:extLst>
            <a:ext uri="{FF2B5EF4-FFF2-40B4-BE49-F238E27FC236}">
              <a16:creationId xmlns:a16="http://schemas.microsoft.com/office/drawing/2014/main" id="{2BDD9078-296F-4822-BEF3-60E823B4F06C}"/>
            </a:ext>
          </a:extLst>
        </xdr:cNvPr>
        <xdr:cNvCxnSpPr/>
      </xdr:nvCxnSpPr>
      <xdr:spPr>
        <a:xfrm rot="10800000" flipV="1">
          <a:off x="10695877" y="2815683"/>
          <a:ext cx="408878" cy="353121"/>
        </a:xfrm>
        <a:prstGeom prst="curved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</xdr:row>
      <xdr:rowOff>18585</xdr:rowOff>
    </xdr:from>
    <xdr:to>
      <xdr:col>13</xdr:col>
      <xdr:colOff>148683</xdr:colOff>
      <xdr:row>29</xdr:row>
      <xdr:rowOff>65978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FFA1F1A-3E42-2384-5EB4-849009187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72BFB-4EFD-475B-A55D-53A889E1A23F}" name="Table1" displayName="Table1" ref="A1:T1000" totalsRowCount="1" headerRowDxfId="37" dataDxfId="36" totalsRowDxfId="35">
  <autoFilter ref="A1:T999" xr:uid="{35972BFB-4EFD-475B-A55D-53A889E1A23F}"/>
  <sortState xmlns:xlrd2="http://schemas.microsoft.com/office/spreadsheetml/2017/richdata2" ref="A2:T999">
    <sortCondition descending="1" ref="I1:I999"/>
  </sortState>
  <tableColumns count="20">
    <tableColumn id="1" xr3:uid="{0502E599-69AC-46FC-BD6B-017EDD1CF548}" name="MovieID" totalsRowLabel="Total" dataDxfId="34"/>
    <tableColumn id="2" xr3:uid="{B2EE40CE-035C-42BB-A581-E5617BAA394E}" name="Title" dataDxfId="33"/>
    <tableColumn id="3" xr3:uid="{08FF966C-C8D2-4F8A-9CD2-F0368665DF5C}" name="Genre" dataDxfId="32"/>
    <tableColumn id="4" xr3:uid="{5CFD11E1-C72C-47CE-AD35-993822E20E42}" name="ReleaseYear" dataDxfId="31"/>
    <tableColumn id="5" xr3:uid="{41C97E3D-04E1-4587-95D7-91E73D80BB6C}" name="ReleaseDate" dataDxfId="30"/>
    <tableColumn id="6" xr3:uid="{A2BEC78E-B4C2-415F-8CBE-BEEBF29B1F49}" name="Country" dataDxfId="29"/>
    <tableColumn id="7" xr3:uid="{0C255C4A-47EF-4776-B7D4-106C07C0F8A9}" name="BudgetUSD" totalsRowFunction="custom" dataDxfId="28" totalsRowDxfId="14">
      <totalsRowFormula>SUM(G2:G999)</totalsRowFormula>
    </tableColumn>
    <tableColumn id="8" xr3:uid="{B4831052-8F93-42CA-B236-4455096A05DD}" name="US_BoxOfficeUSD" dataDxfId="27" totalsRowDxfId="13"/>
    <tableColumn id="9" xr3:uid="{86C2F08F-2151-4C4E-8BBB-3F31762B4E8E}" name="Global_BoxOfficeUSD" dataDxfId="26" totalsRowDxfId="12"/>
    <tableColumn id="10" xr3:uid="{E37CC8AB-5FF0-4A49-9F8B-AF89287FF7AE}" name="Opening_Day_SalesUSD" dataDxfId="25" totalsRowDxfId="11"/>
    <tableColumn id="11" xr3:uid="{2EE8685A-7E33-4574-83DF-FFEB898C49A1}" name="One_Week_SalesUSD" dataDxfId="24" totalsRowDxfId="10"/>
    <tableColumn id="12" xr3:uid="{08AED2F9-5A30-40EB-8296-F594825EBCBF}" name="IMDbRating"/>
    <tableColumn id="13" xr3:uid="{EF1CB10D-45C1-4CA1-852D-F3A3EF983580}" name="RottenTomatoesScore" dataDxfId="23"/>
    <tableColumn id="14" xr3:uid="{E41F66AE-2088-4B42-AB35-36F6A3A9889D}" name="NumVotesIMDb" dataDxfId="22"/>
    <tableColumn id="15" xr3:uid="{C918C9DC-6D35-4F34-8C17-E200BC7E176D}" name="NumVotesRT" dataDxfId="21"/>
    <tableColumn id="16" xr3:uid="{C8E63D4B-4073-40DF-AF07-864B36F56053}" name="Director" dataDxfId="20"/>
    <tableColumn id="17" xr3:uid="{61C58F0D-2A8A-4348-B4B0-2EEC4D79A6C9}" name="LeadActor" totalsRowFunction="count" dataDxfId="19"/>
    <tableColumn id="18" xr3:uid="{85BE1EDE-35D5-4AA2-9BB7-E76079B84BB4}" name="Profit" dataDxfId="18" totalsRowDxfId="9">
      <calculatedColumnFormula>Table1[[#This Row],[Global_BoxOfficeUSD]]-Table1[[#This Row],[BudgetUSD]]</calculatedColumnFormula>
    </tableColumn>
    <tableColumn id="19" xr3:uid="{C51A39FC-8FAB-4F77-8D7C-A53955103930}" name="ROI" dataDxfId="17" totalsRowDxfId="16">
      <calculatedColumnFormula>Table1[[#This Row],[Profit]]/Table1[[#This Row],[BudgetUSD]]</calculatedColumnFormula>
    </tableColumn>
    <tableColumn id="20" xr3:uid="{546B3BDA-0F08-474D-A654-A614D3076198}" name="Hit/Flop" dataDxfId="15">
      <calculatedColumnFormula>IF(Table1[[#This Row],[ROI]]&gt;100%,"Hit","Flop")</calculatedColumnFormula>
    </tableColumn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5783-387D-442D-BD45-094D07C88CAC}">
  <dimension ref="A1:V1000"/>
  <sheetViews>
    <sheetView tabSelected="1" zoomScale="69" zoomScaleNormal="113" workbookViewId="0">
      <selection activeCell="F20" sqref="F20"/>
    </sheetView>
  </sheetViews>
  <sheetFormatPr defaultRowHeight="14.4" x14ac:dyDescent="0.3"/>
  <cols>
    <col min="1" max="1" width="10.33203125" bestFit="1" customWidth="1"/>
    <col min="2" max="2" width="34.109375" bestFit="1" customWidth="1"/>
    <col min="3" max="3" width="12.21875" bestFit="1" customWidth="1"/>
    <col min="4" max="4" width="13.6640625" bestFit="1" customWidth="1"/>
    <col min="5" max="5" width="13.88671875" bestFit="1" customWidth="1"/>
    <col min="6" max="6" width="11" bestFit="1" customWidth="1"/>
    <col min="7" max="7" width="22.5546875" style="2" bestFit="1" customWidth="1"/>
    <col min="8" max="8" width="18.33203125" style="2" bestFit="1" customWidth="1"/>
    <col min="9" max="9" width="21.5546875" style="2" bestFit="1" customWidth="1"/>
    <col min="10" max="10" width="23.6640625" style="2" bestFit="1" customWidth="1"/>
    <col min="11" max="11" width="21.5546875" style="2" bestFit="1" customWidth="1"/>
    <col min="12" max="12" width="13.21875" bestFit="1" customWidth="1"/>
    <col min="13" max="13" width="22.21875" bestFit="1" customWidth="1"/>
    <col min="14" max="14" width="16.88671875" bestFit="1" customWidth="1"/>
    <col min="15" max="15" width="14.21875" bestFit="1" customWidth="1"/>
    <col min="16" max="16" width="23.88671875" bestFit="1" customWidth="1"/>
    <col min="17" max="17" width="20" bestFit="1" customWidth="1"/>
    <col min="18" max="18" width="18.109375" customWidth="1"/>
    <col min="19" max="19" width="11.6640625" customWidth="1"/>
    <col min="20" max="20" width="10.109375" bestFit="1" customWidth="1"/>
    <col min="22" max="22" width="20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1437</v>
      </c>
      <c r="S1" t="s">
        <v>1438</v>
      </c>
      <c r="T1" t="s">
        <v>1439</v>
      </c>
    </row>
    <row r="2" spans="1:20" x14ac:dyDescent="0.3">
      <c r="A2">
        <v>478</v>
      </c>
      <c r="B2" s="13" t="s">
        <v>875</v>
      </c>
      <c r="C2" t="s">
        <v>18</v>
      </c>
      <c r="D2">
        <v>1994</v>
      </c>
      <c r="E2" s="1">
        <v>34405</v>
      </c>
      <c r="F2" t="s">
        <v>23</v>
      </c>
      <c r="G2" s="2">
        <v>245823229.40000001</v>
      </c>
      <c r="H2" s="2">
        <v>605742625.70000005</v>
      </c>
      <c r="I2" s="2">
        <v>885090493.70000005</v>
      </c>
      <c r="J2" s="2">
        <v>101042815</v>
      </c>
      <c r="K2" s="2">
        <v>354966734.60000002</v>
      </c>
      <c r="L2">
        <v>4.9000000000000004</v>
      </c>
      <c r="M2">
        <v>46</v>
      </c>
      <c r="N2">
        <v>443</v>
      </c>
      <c r="O2">
        <v>27363</v>
      </c>
      <c r="P2" t="s">
        <v>58</v>
      </c>
      <c r="Q2" t="s">
        <v>308</v>
      </c>
      <c r="R2" s="2">
        <f>Table1[[#This Row],[Global_BoxOfficeUSD]]-Table1[[#This Row],[BudgetUSD]]</f>
        <v>639267264.30000007</v>
      </c>
      <c r="S2" s="15">
        <f>Table1[[#This Row],[Profit]]/Table1[[#This Row],[BudgetUSD]]</f>
        <v>2.6005160938626903</v>
      </c>
      <c r="T2" s="16" t="str">
        <f>IF(Table1[[#This Row],[ROI]]&gt;100%,"Hit","Flop")</f>
        <v>Hit</v>
      </c>
    </row>
    <row r="3" spans="1:20" x14ac:dyDescent="0.3">
      <c r="A3">
        <v>283</v>
      </c>
      <c r="B3" s="13" t="s">
        <v>619</v>
      </c>
      <c r="C3" t="s">
        <v>45</v>
      </c>
      <c r="D3">
        <v>1998</v>
      </c>
      <c r="E3" s="1">
        <v>35990</v>
      </c>
      <c r="F3" t="s">
        <v>23</v>
      </c>
      <c r="G3" s="2">
        <v>198855410.80000001</v>
      </c>
      <c r="H3" s="2">
        <v>320738591.5</v>
      </c>
      <c r="I3" s="2">
        <v>747649760.60000002</v>
      </c>
      <c r="J3" s="2">
        <v>92397527.760000005</v>
      </c>
      <c r="K3" s="2">
        <v>130892553</v>
      </c>
      <c r="L3">
        <v>6.2</v>
      </c>
      <c r="M3">
        <v>72</v>
      </c>
      <c r="N3">
        <v>15482</v>
      </c>
      <c r="O3">
        <v>4505</v>
      </c>
      <c r="P3" t="s">
        <v>114</v>
      </c>
      <c r="Q3" t="s">
        <v>269</v>
      </c>
      <c r="R3" s="2">
        <f>Table1[[#This Row],[Global_BoxOfficeUSD]]-Table1[[#This Row],[BudgetUSD]]</f>
        <v>548794349.79999995</v>
      </c>
      <c r="S3" s="15">
        <f>Table1[[#This Row],[Profit]]/Table1[[#This Row],[BudgetUSD]]</f>
        <v>2.7597657392986559</v>
      </c>
      <c r="T3" t="str">
        <f>IF(Table1[[#This Row],[ROI]]&gt;100%,"Hit","Flop")</f>
        <v>Hit</v>
      </c>
    </row>
    <row r="4" spans="1:20" x14ac:dyDescent="0.3">
      <c r="A4">
        <v>146</v>
      </c>
      <c r="B4" s="13" t="s">
        <v>379</v>
      </c>
      <c r="C4" t="s">
        <v>18</v>
      </c>
      <c r="D4">
        <v>1986</v>
      </c>
      <c r="E4" s="1">
        <v>31593</v>
      </c>
      <c r="F4" t="s">
        <v>23</v>
      </c>
      <c r="G4" s="2">
        <v>153249538</v>
      </c>
      <c r="H4" s="2">
        <v>190994158</v>
      </c>
      <c r="I4" s="2">
        <v>470787809.80000001</v>
      </c>
      <c r="J4" s="2">
        <v>48782631.909999996</v>
      </c>
      <c r="K4" s="2">
        <v>91974780.170000002</v>
      </c>
      <c r="L4">
        <v>5</v>
      </c>
      <c r="M4">
        <v>47</v>
      </c>
      <c r="N4">
        <v>1576</v>
      </c>
      <c r="O4">
        <v>234</v>
      </c>
      <c r="P4" t="s">
        <v>380</v>
      </c>
      <c r="Q4" t="s">
        <v>381</v>
      </c>
      <c r="R4" s="2">
        <f>Table1[[#This Row],[Global_BoxOfficeUSD]]-Table1[[#This Row],[BudgetUSD]]</f>
        <v>317538271.80000001</v>
      </c>
      <c r="S4" s="15">
        <f>Table1[[#This Row],[Profit]]/Table1[[#This Row],[BudgetUSD]]</f>
        <v>2.0720341212382642</v>
      </c>
      <c r="T4" t="str">
        <f>IF(Table1[[#This Row],[ROI]]&gt;100%,"Hit","Flop")</f>
        <v>Hit</v>
      </c>
    </row>
    <row r="5" spans="1:20" x14ac:dyDescent="0.3">
      <c r="A5">
        <v>109</v>
      </c>
      <c r="B5" s="13" t="s">
        <v>306</v>
      </c>
      <c r="C5" t="s">
        <v>38</v>
      </c>
      <c r="D5">
        <v>2000</v>
      </c>
      <c r="E5" s="1">
        <v>36633</v>
      </c>
      <c r="F5" t="s">
        <v>23</v>
      </c>
      <c r="G5" s="2">
        <v>105826404.7</v>
      </c>
      <c r="H5" s="2">
        <v>252631438.19999999</v>
      </c>
      <c r="I5" s="2">
        <v>459062513.60000002</v>
      </c>
      <c r="J5" s="2">
        <v>53806543.210000001</v>
      </c>
      <c r="K5" s="2">
        <v>141153308.19999999</v>
      </c>
      <c r="L5">
        <v>6.8</v>
      </c>
      <c r="M5">
        <v>64</v>
      </c>
      <c r="N5">
        <v>12175</v>
      </c>
      <c r="O5">
        <v>80</v>
      </c>
      <c r="P5" t="s">
        <v>307</v>
      </c>
      <c r="Q5" t="s">
        <v>308</v>
      </c>
      <c r="R5" s="2">
        <f>Table1[[#This Row],[Global_BoxOfficeUSD]]-Table1[[#This Row],[BudgetUSD]]</f>
        <v>353236108.90000004</v>
      </c>
      <c r="S5" s="15">
        <f>Table1[[#This Row],[Profit]]/Table1[[#This Row],[BudgetUSD]]</f>
        <v>3.3378825435992536</v>
      </c>
      <c r="T5" t="str">
        <f>IF(Table1[[#This Row],[ROI]]&gt;100%,"Hit","Flop")</f>
        <v>Hit</v>
      </c>
    </row>
    <row r="6" spans="1:20" x14ac:dyDescent="0.3">
      <c r="A6">
        <v>891</v>
      </c>
      <c r="B6" s="13" t="s">
        <v>1077</v>
      </c>
      <c r="C6" t="s">
        <v>18</v>
      </c>
      <c r="D6">
        <v>2013</v>
      </c>
      <c r="E6" s="1">
        <v>41562</v>
      </c>
      <c r="F6" t="s">
        <v>23</v>
      </c>
      <c r="G6" s="2">
        <v>300000000</v>
      </c>
      <c r="H6" s="2">
        <v>208285840.90000001</v>
      </c>
      <c r="I6" s="2">
        <v>414383360.89999998</v>
      </c>
      <c r="J6" s="2">
        <v>47736294.490000002</v>
      </c>
      <c r="K6" s="2">
        <v>86673643.120000005</v>
      </c>
      <c r="L6">
        <v>8</v>
      </c>
      <c r="M6">
        <v>81</v>
      </c>
      <c r="N6">
        <v>342</v>
      </c>
      <c r="O6">
        <v>2023</v>
      </c>
      <c r="P6" t="s">
        <v>915</v>
      </c>
      <c r="Q6" t="s">
        <v>105</v>
      </c>
      <c r="R6" s="2">
        <f>Table1[[#This Row],[Global_BoxOfficeUSD]]-Table1[[#This Row],[BudgetUSD]]</f>
        <v>114383360.89999998</v>
      </c>
      <c r="S6" s="15">
        <f>Table1[[#This Row],[Profit]]/Table1[[#This Row],[BudgetUSD]]</f>
        <v>0.3812778696666666</v>
      </c>
      <c r="T6" t="str">
        <f>IF(Table1[[#This Row],[ROI]]&gt;100%,"Hit","Flop")</f>
        <v>Flop</v>
      </c>
    </row>
    <row r="7" spans="1:20" x14ac:dyDescent="0.3">
      <c r="A7">
        <v>296</v>
      </c>
      <c r="B7" s="13" t="s">
        <v>634</v>
      </c>
      <c r="C7" t="s">
        <v>18</v>
      </c>
      <c r="D7">
        <v>1987</v>
      </c>
      <c r="E7" s="1">
        <v>32049</v>
      </c>
      <c r="F7" t="s">
        <v>152</v>
      </c>
      <c r="G7" s="2">
        <v>276375973.10000002</v>
      </c>
      <c r="H7" s="2">
        <v>161908961.30000001</v>
      </c>
      <c r="I7" s="2">
        <v>368781942.19999999</v>
      </c>
      <c r="J7" s="2">
        <v>39732844.859999999</v>
      </c>
      <c r="K7" s="2">
        <v>77254473.329999998</v>
      </c>
      <c r="L7">
        <v>6.3</v>
      </c>
      <c r="M7">
        <v>57</v>
      </c>
      <c r="N7">
        <v>1353</v>
      </c>
      <c r="O7">
        <v>204</v>
      </c>
      <c r="P7" t="s">
        <v>64</v>
      </c>
      <c r="Q7" t="s">
        <v>342</v>
      </c>
      <c r="R7" s="2">
        <f>Table1[[#This Row],[Global_BoxOfficeUSD]]-Table1[[#This Row],[BudgetUSD]]</f>
        <v>92405969.099999964</v>
      </c>
      <c r="S7" s="15">
        <f>Table1[[#This Row],[Profit]]/Table1[[#This Row],[BudgetUSD]]</f>
        <v>0.33434877881575137</v>
      </c>
      <c r="T7" t="str">
        <f>IF(Table1[[#This Row],[ROI]]&gt;100%,"Hit","Flop")</f>
        <v>Flop</v>
      </c>
    </row>
    <row r="8" spans="1:20" x14ac:dyDescent="0.3">
      <c r="A8">
        <v>878</v>
      </c>
      <c r="B8" s="13" t="s">
        <v>1293</v>
      </c>
      <c r="C8" t="s">
        <v>45</v>
      </c>
      <c r="D8">
        <v>1964</v>
      </c>
      <c r="E8" s="1">
        <v>23563</v>
      </c>
      <c r="F8" t="s">
        <v>152</v>
      </c>
      <c r="G8" s="2">
        <v>151060204.59999999</v>
      </c>
      <c r="H8" s="2">
        <v>155695387.40000001</v>
      </c>
      <c r="I8" s="2">
        <v>368484285.69999999</v>
      </c>
      <c r="J8" s="2">
        <v>27565681.16</v>
      </c>
      <c r="K8" s="2">
        <v>77133292.599999994</v>
      </c>
      <c r="L8">
        <v>6.5</v>
      </c>
      <c r="M8">
        <v>58</v>
      </c>
      <c r="N8">
        <v>263</v>
      </c>
      <c r="O8">
        <v>50</v>
      </c>
      <c r="P8" t="s">
        <v>227</v>
      </c>
      <c r="Q8" t="s">
        <v>895</v>
      </c>
      <c r="R8" s="2">
        <f>Table1[[#This Row],[Global_BoxOfficeUSD]]-Table1[[#This Row],[BudgetUSD]]</f>
        <v>217424081.09999999</v>
      </c>
      <c r="S8" s="15">
        <f>Table1[[#This Row],[Profit]]/Table1[[#This Row],[BudgetUSD]]</f>
        <v>1.4393207110749537</v>
      </c>
      <c r="T8" t="str">
        <f>IF(Table1[[#This Row],[ROI]]&gt;100%,"Hit","Flop")</f>
        <v>Hit</v>
      </c>
    </row>
    <row r="9" spans="1:20" x14ac:dyDescent="0.3">
      <c r="A9">
        <v>535</v>
      </c>
      <c r="B9" s="13" t="s">
        <v>943</v>
      </c>
      <c r="C9" t="s">
        <v>18</v>
      </c>
      <c r="D9">
        <v>2025</v>
      </c>
      <c r="E9" s="1">
        <v>45843</v>
      </c>
      <c r="F9" t="s">
        <v>152</v>
      </c>
      <c r="G9" s="2">
        <v>69389367.109999999</v>
      </c>
      <c r="H9" s="2">
        <v>163195264.90000001</v>
      </c>
      <c r="I9" s="2">
        <v>296610398.5</v>
      </c>
      <c r="J9" s="2">
        <v>31892696.780000001</v>
      </c>
      <c r="K9" s="2">
        <v>73550692.310000002</v>
      </c>
      <c r="L9">
        <v>6.8</v>
      </c>
      <c r="M9">
        <v>69</v>
      </c>
      <c r="N9">
        <v>1213</v>
      </c>
      <c r="O9">
        <v>50</v>
      </c>
      <c r="P9" t="s">
        <v>552</v>
      </c>
      <c r="Q9" t="s">
        <v>944</v>
      </c>
      <c r="R9" s="2">
        <f>Table1[[#This Row],[Global_BoxOfficeUSD]]-Table1[[#This Row],[BudgetUSD]]</f>
        <v>227221031.38999999</v>
      </c>
      <c r="S9" s="15">
        <f>Table1[[#This Row],[Profit]]/Table1[[#This Row],[BudgetUSD]]</f>
        <v>3.2745799659736945</v>
      </c>
      <c r="T9" t="str">
        <f>IF(Table1[[#This Row],[ROI]]&gt;100%,"Hit","Flop")</f>
        <v>Hit</v>
      </c>
    </row>
    <row r="10" spans="1:20" x14ac:dyDescent="0.3">
      <c r="A10">
        <v>362</v>
      </c>
      <c r="B10" s="13" t="s">
        <v>723</v>
      </c>
      <c r="C10" t="s">
        <v>38</v>
      </c>
      <c r="D10">
        <v>2015</v>
      </c>
      <c r="E10" s="1">
        <v>42203</v>
      </c>
      <c r="F10" t="s">
        <v>23</v>
      </c>
      <c r="G10" s="2">
        <v>92408074.900000006</v>
      </c>
      <c r="H10" s="2">
        <v>143834109.90000001</v>
      </c>
      <c r="I10" s="2">
        <v>275913851.89999998</v>
      </c>
      <c r="J10" s="2">
        <v>30866631.02</v>
      </c>
      <c r="K10" s="2">
        <v>74677172.5</v>
      </c>
      <c r="L10">
        <v>7.9</v>
      </c>
      <c r="M10">
        <v>70</v>
      </c>
      <c r="N10">
        <v>22886</v>
      </c>
      <c r="O10">
        <v>1308</v>
      </c>
      <c r="P10" t="s">
        <v>316</v>
      </c>
      <c r="Q10" t="s">
        <v>724</v>
      </c>
      <c r="R10" s="2">
        <f>Table1[[#This Row],[Global_BoxOfficeUSD]]-Table1[[#This Row],[BudgetUSD]]</f>
        <v>183505776.99999997</v>
      </c>
      <c r="S10" s="15">
        <f>Table1[[#This Row],[Profit]]/Table1[[#This Row],[BudgetUSD]]</f>
        <v>1.9858197154153674</v>
      </c>
      <c r="T10" t="str">
        <f>IF(Table1[[#This Row],[ROI]]&gt;100%,"Hit","Flop")</f>
        <v>Hit</v>
      </c>
    </row>
    <row r="11" spans="1:20" x14ac:dyDescent="0.3">
      <c r="A11">
        <v>463</v>
      </c>
      <c r="B11" s="13" t="s">
        <v>856</v>
      </c>
      <c r="C11" t="s">
        <v>18</v>
      </c>
      <c r="D11">
        <v>2007</v>
      </c>
      <c r="E11" s="1">
        <v>39396</v>
      </c>
      <c r="F11" t="s">
        <v>23</v>
      </c>
      <c r="G11" s="2">
        <v>60929448.119999997</v>
      </c>
      <c r="H11" s="2">
        <v>130596199.7</v>
      </c>
      <c r="I11" s="2">
        <v>260545472.19999999</v>
      </c>
      <c r="J11" s="2">
        <v>34192088.890000001</v>
      </c>
      <c r="K11" s="2">
        <v>73917670.700000003</v>
      </c>
      <c r="L11">
        <v>6.5</v>
      </c>
      <c r="M11">
        <v>66</v>
      </c>
      <c r="N11">
        <v>3045</v>
      </c>
      <c r="O11">
        <v>223</v>
      </c>
      <c r="P11" t="s">
        <v>421</v>
      </c>
      <c r="Q11" t="s">
        <v>613</v>
      </c>
      <c r="R11" s="2">
        <f>Table1[[#This Row],[Global_BoxOfficeUSD]]-Table1[[#This Row],[BudgetUSD]]</f>
        <v>199616024.07999998</v>
      </c>
      <c r="S11" s="15">
        <f>Table1[[#This Row],[Profit]]/Table1[[#This Row],[BudgetUSD]]</f>
        <v>3.2761830320021614</v>
      </c>
      <c r="T11" t="str">
        <f>IF(Table1[[#This Row],[ROI]]&gt;100%,"Hit","Flop")</f>
        <v>Hit</v>
      </c>
    </row>
    <row r="12" spans="1:20" x14ac:dyDescent="0.3">
      <c r="A12">
        <v>209</v>
      </c>
      <c r="B12" t="s">
        <v>506</v>
      </c>
      <c r="C12" t="s">
        <v>38</v>
      </c>
      <c r="D12">
        <v>2000</v>
      </c>
      <c r="E12" s="1">
        <v>36582</v>
      </c>
      <c r="F12" t="s">
        <v>23</v>
      </c>
      <c r="G12" s="2">
        <v>50647874.270000003</v>
      </c>
      <c r="H12" s="2">
        <v>127907286.40000001</v>
      </c>
      <c r="I12" s="2">
        <v>231004494.80000001</v>
      </c>
      <c r="J12" s="2">
        <v>37807577.07</v>
      </c>
      <c r="K12" s="2">
        <v>67493881.510000005</v>
      </c>
      <c r="L12">
        <v>8.6999999999999993</v>
      </c>
      <c r="M12">
        <v>74</v>
      </c>
      <c r="N12">
        <v>576</v>
      </c>
      <c r="O12">
        <v>400</v>
      </c>
      <c r="P12" t="s">
        <v>302</v>
      </c>
      <c r="Q12" t="s">
        <v>507</v>
      </c>
      <c r="R12" s="2">
        <f>Table1[[#This Row],[Global_BoxOfficeUSD]]-Table1[[#This Row],[BudgetUSD]]</f>
        <v>180356620.53</v>
      </c>
      <c r="S12" s="15">
        <f>Table1[[#This Row],[Profit]]/Table1[[#This Row],[BudgetUSD]]</f>
        <v>3.5609909227094594</v>
      </c>
      <c r="T12" t="str">
        <f>IF(Table1[[#This Row],[ROI]]&gt;100%,"Hit","Flop")</f>
        <v>Hit</v>
      </c>
    </row>
    <row r="13" spans="1:20" x14ac:dyDescent="0.3">
      <c r="A13">
        <v>484</v>
      </c>
      <c r="B13" t="s">
        <v>883</v>
      </c>
      <c r="C13" t="s">
        <v>18</v>
      </c>
      <c r="D13">
        <v>2006</v>
      </c>
      <c r="E13" s="1">
        <v>38912</v>
      </c>
      <c r="F13" t="s">
        <v>34</v>
      </c>
      <c r="G13" s="2">
        <v>68070044.519999996</v>
      </c>
      <c r="H13" s="2">
        <v>116786903.09999999</v>
      </c>
      <c r="I13" s="2">
        <v>229000913.90000001</v>
      </c>
      <c r="J13" s="2">
        <v>29634079.949999999</v>
      </c>
      <c r="K13" s="2">
        <v>61051812.859999999</v>
      </c>
      <c r="L13">
        <v>6.8</v>
      </c>
      <c r="M13">
        <v>64</v>
      </c>
      <c r="N13">
        <v>2628</v>
      </c>
      <c r="O13">
        <v>1018</v>
      </c>
      <c r="P13" t="s">
        <v>90</v>
      </c>
      <c r="Q13" t="s">
        <v>616</v>
      </c>
      <c r="R13" s="2">
        <f>Table1[[#This Row],[Global_BoxOfficeUSD]]-Table1[[#This Row],[BudgetUSD]]</f>
        <v>160930869.38</v>
      </c>
      <c r="S13" s="15">
        <f>Table1[[#This Row],[Profit]]/Table1[[#This Row],[BudgetUSD]]</f>
        <v>2.3641951539008632</v>
      </c>
      <c r="T13" t="str">
        <f>IF(Table1[[#This Row],[ROI]]&gt;100%,"Hit","Flop")</f>
        <v>Hit</v>
      </c>
    </row>
    <row r="14" spans="1:20" x14ac:dyDescent="0.3">
      <c r="A14">
        <v>244</v>
      </c>
      <c r="B14" t="s">
        <v>560</v>
      </c>
      <c r="C14" t="s">
        <v>86</v>
      </c>
      <c r="D14">
        <v>1965</v>
      </c>
      <c r="E14" s="1">
        <v>23919</v>
      </c>
      <c r="F14" t="s">
        <v>139</v>
      </c>
      <c r="G14" s="2">
        <v>45861844.899999999</v>
      </c>
      <c r="H14" s="2">
        <v>120065889.2</v>
      </c>
      <c r="I14" s="2">
        <v>221513801.40000001</v>
      </c>
      <c r="J14" s="2">
        <v>32306710.91</v>
      </c>
      <c r="K14" s="2">
        <v>53072520.82</v>
      </c>
      <c r="L14">
        <v>5.5</v>
      </c>
      <c r="M14">
        <v>80</v>
      </c>
      <c r="N14">
        <v>423</v>
      </c>
      <c r="O14">
        <v>2635</v>
      </c>
      <c r="P14" t="s">
        <v>87</v>
      </c>
      <c r="Q14" t="s">
        <v>112</v>
      </c>
      <c r="R14" s="2">
        <f>Table1[[#This Row],[Global_BoxOfficeUSD]]-Table1[[#This Row],[BudgetUSD]]</f>
        <v>175651956.5</v>
      </c>
      <c r="S14" s="15">
        <f>Table1[[#This Row],[Profit]]/Table1[[#This Row],[BudgetUSD]]</f>
        <v>3.830023778655272</v>
      </c>
      <c r="T14" t="str">
        <f>IF(Table1[[#This Row],[ROI]]&gt;100%,"Hit","Flop")</f>
        <v>Hit</v>
      </c>
    </row>
    <row r="15" spans="1:20" x14ac:dyDescent="0.3">
      <c r="A15">
        <v>806</v>
      </c>
      <c r="B15" t="s">
        <v>1226</v>
      </c>
      <c r="C15" t="s">
        <v>38</v>
      </c>
      <c r="D15">
        <v>1996</v>
      </c>
      <c r="E15" s="1">
        <v>35200</v>
      </c>
      <c r="F15" t="s">
        <v>23</v>
      </c>
      <c r="G15" s="2">
        <v>47516790.740000002</v>
      </c>
      <c r="H15" s="2">
        <v>142020281.5</v>
      </c>
      <c r="I15" s="2">
        <v>206732091.5</v>
      </c>
      <c r="J15" s="2">
        <v>15914081.18</v>
      </c>
      <c r="K15" s="2">
        <v>76020790.099999994</v>
      </c>
      <c r="L15">
        <v>6.4</v>
      </c>
      <c r="M15">
        <v>63</v>
      </c>
      <c r="N15">
        <v>532</v>
      </c>
      <c r="O15">
        <v>454</v>
      </c>
      <c r="P15" t="s">
        <v>27</v>
      </c>
      <c r="Q15" t="s">
        <v>570</v>
      </c>
      <c r="R15" s="2">
        <f>Table1[[#This Row],[Global_BoxOfficeUSD]]-Table1[[#This Row],[BudgetUSD]]</f>
        <v>159215300.75999999</v>
      </c>
      <c r="S15" s="15">
        <f>Table1[[#This Row],[Profit]]/Table1[[#This Row],[BudgetUSD]]</f>
        <v>3.3507166262803039</v>
      </c>
      <c r="T15" t="str">
        <f>IF(Table1[[#This Row],[ROI]]&gt;100%,"Hit","Flop")</f>
        <v>Hit</v>
      </c>
    </row>
    <row r="16" spans="1:20" x14ac:dyDescent="0.3">
      <c r="A16">
        <v>430</v>
      </c>
      <c r="B16" t="s">
        <v>814</v>
      </c>
      <c r="C16" t="s">
        <v>67</v>
      </c>
      <c r="D16">
        <v>1974</v>
      </c>
      <c r="E16" s="1">
        <v>27091</v>
      </c>
      <c r="F16" t="s">
        <v>23</v>
      </c>
      <c r="G16" s="2">
        <v>51848295.770000003</v>
      </c>
      <c r="H16" s="2">
        <v>122917997.90000001</v>
      </c>
      <c r="I16" s="2">
        <v>203575021.30000001</v>
      </c>
      <c r="J16" s="2">
        <v>34508948.140000001</v>
      </c>
      <c r="K16" s="2">
        <v>67728814.969999999</v>
      </c>
      <c r="L16">
        <v>9.5</v>
      </c>
      <c r="M16">
        <v>98</v>
      </c>
      <c r="N16">
        <v>2782</v>
      </c>
      <c r="O16">
        <v>1141</v>
      </c>
      <c r="P16" t="s">
        <v>164</v>
      </c>
      <c r="Q16" t="s">
        <v>329</v>
      </c>
      <c r="R16" s="2">
        <f>Table1[[#This Row],[Global_BoxOfficeUSD]]-Table1[[#This Row],[BudgetUSD]]</f>
        <v>151726725.53</v>
      </c>
      <c r="S16" s="15">
        <f>Table1[[#This Row],[Profit]]/Table1[[#This Row],[BudgetUSD]]</f>
        <v>2.9263589723963648</v>
      </c>
      <c r="T16" t="str">
        <f>IF(Table1[[#This Row],[ROI]]&gt;100%,"Hit","Flop")</f>
        <v>Hit</v>
      </c>
    </row>
    <row r="17" spans="1:22" x14ac:dyDescent="0.3">
      <c r="A17">
        <v>866</v>
      </c>
      <c r="B17" t="s">
        <v>1282</v>
      </c>
      <c r="C17" t="s">
        <v>86</v>
      </c>
      <c r="D17">
        <v>1999</v>
      </c>
      <c r="E17" s="1">
        <v>36243</v>
      </c>
      <c r="F17" t="s">
        <v>23</v>
      </c>
      <c r="G17" s="2">
        <v>105576736.59999999</v>
      </c>
      <c r="H17" s="2">
        <v>96351330.75</v>
      </c>
      <c r="I17" s="2">
        <v>198852255.90000001</v>
      </c>
      <c r="J17" s="2">
        <v>13372474.76</v>
      </c>
      <c r="K17" s="2">
        <v>54782962.990000002</v>
      </c>
      <c r="L17">
        <v>7.2</v>
      </c>
      <c r="M17">
        <v>80</v>
      </c>
      <c r="N17">
        <v>368</v>
      </c>
      <c r="O17">
        <v>10690</v>
      </c>
      <c r="P17" t="s">
        <v>299</v>
      </c>
      <c r="Q17" t="s">
        <v>570</v>
      </c>
      <c r="R17" s="2">
        <f>Table1[[#This Row],[Global_BoxOfficeUSD]]-Table1[[#This Row],[BudgetUSD]]</f>
        <v>93275519.300000012</v>
      </c>
      <c r="S17" s="15">
        <f>Table1[[#This Row],[Profit]]/Table1[[#This Row],[BudgetUSD]]</f>
        <v>0.88348553198224178</v>
      </c>
      <c r="T17" t="str">
        <f>IF(Table1[[#This Row],[ROI]]&gt;100%,"Hit","Flop")</f>
        <v>Flop</v>
      </c>
    </row>
    <row r="18" spans="1:22" x14ac:dyDescent="0.3">
      <c r="A18">
        <v>933</v>
      </c>
      <c r="B18" t="s">
        <v>1340</v>
      </c>
      <c r="C18" t="s">
        <v>18</v>
      </c>
      <c r="D18">
        <v>1980</v>
      </c>
      <c r="E18" s="1">
        <v>29565</v>
      </c>
      <c r="F18" t="s">
        <v>23</v>
      </c>
      <c r="G18" s="2">
        <v>82849248.069999993</v>
      </c>
      <c r="H18" s="2">
        <v>101550144.8</v>
      </c>
      <c r="I18" s="2">
        <v>194205757.90000001</v>
      </c>
      <c r="J18" s="2">
        <v>27981229.640000001</v>
      </c>
      <c r="K18" s="2">
        <v>40682828.060000002</v>
      </c>
      <c r="L18">
        <v>7.7</v>
      </c>
      <c r="M18">
        <v>55</v>
      </c>
      <c r="N18">
        <v>2760</v>
      </c>
      <c r="O18">
        <v>426</v>
      </c>
      <c r="P18" t="s">
        <v>277</v>
      </c>
      <c r="Q18" t="s">
        <v>747</v>
      </c>
      <c r="R18" s="2">
        <f>Table1[[#This Row],[Global_BoxOfficeUSD]]-Table1[[#This Row],[BudgetUSD]]</f>
        <v>111356509.83000001</v>
      </c>
      <c r="S18" s="15">
        <f>Table1[[#This Row],[Profit]]/Table1[[#This Row],[BudgetUSD]]</f>
        <v>1.3440859443397</v>
      </c>
      <c r="T18" t="str">
        <f>IF(Table1[[#This Row],[ROI]]&gt;100%,"Hit","Flop")</f>
        <v>Hit</v>
      </c>
    </row>
    <row r="19" spans="1:22" x14ac:dyDescent="0.3">
      <c r="A19">
        <v>812</v>
      </c>
      <c r="B19" t="s">
        <v>1231</v>
      </c>
      <c r="C19" t="s">
        <v>38</v>
      </c>
      <c r="D19">
        <v>2013</v>
      </c>
      <c r="E19" s="1">
        <v>41349</v>
      </c>
      <c r="F19" t="s">
        <v>23</v>
      </c>
      <c r="G19" s="2">
        <v>47721023.710000001</v>
      </c>
      <c r="H19" s="2">
        <v>102027603.5</v>
      </c>
      <c r="I19" s="2">
        <v>180302080.59999999</v>
      </c>
      <c r="J19" s="2">
        <v>26589600.859999999</v>
      </c>
      <c r="K19" s="2">
        <v>42312782.049999997</v>
      </c>
      <c r="L19">
        <v>8.6</v>
      </c>
      <c r="M19">
        <v>93</v>
      </c>
      <c r="N19">
        <v>1708</v>
      </c>
      <c r="O19">
        <v>66</v>
      </c>
      <c r="P19" t="s">
        <v>865</v>
      </c>
      <c r="Q19" t="s">
        <v>593</v>
      </c>
      <c r="R19" s="2">
        <f>Table1[[#This Row],[Global_BoxOfficeUSD]]-Table1[[#This Row],[BudgetUSD]]</f>
        <v>132581056.88999999</v>
      </c>
      <c r="S19" s="15">
        <f>Table1[[#This Row],[Profit]]/Table1[[#This Row],[BudgetUSD]]</f>
        <v>2.7782525726122982</v>
      </c>
      <c r="T19" t="str">
        <f>IF(Table1[[#This Row],[ROI]]&gt;100%,"Hit","Flop")</f>
        <v>Hit</v>
      </c>
    </row>
    <row r="20" spans="1:22" x14ac:dyDescent="0.3">
      <c r="A20">
        <v>386</v>
      </c>
      <c r="B20" t="s">
        <v>760</v>
      </c>
      <c r="C20" t="s">
        <v>18</v>
      </c>
      <c r="D20">
        <v>1968</v>
      </c>
      <c r="E20" s="1">
        <v>25172</v>
      </c>
      <c r="F20" t="s">
        <v>34</v>
      </c>
      <c r="G20" s="2">
        <v>46875864.829999998</v>
      </c>
      <c r="H20" s="2">
        <v>95437427.049999997</v>
      </c>
      <c r="I20" s="2">
        <v>168860592.19999999</v>
      </c>
      <c r="J20" s="2">
        <v>13937783.4</v>
      </c>
      <c r="K20" s="2">
        <v>51911527.759999998</v>
      </c>
      <c r="L20">
        <v>8.6999999999999993</v>
      </c>
      <c r="M20">
        <v>81</v>
      </c>
      <c r="N20">
        <v>4791</v>
      </c>
      <c r="O20">
        <v>357</v>
      </c>
      <c r="P20" t="s">
        <v>643</v>
      </c>
      <c r="Q20" t="s">
        <v>518</v>
      </c>
      <c r="R20" s="2">
        <f>Table1[[#This Row],[Global_BoxOfficeUSD]]-Table1[[#This Row],[BudgetUSD]]</f>
        <v>121984727.36999999</v>
      </c>
      <c r="S20" s="15">
        <f>Table1[[#This Row],[Profit]]/Table1[[#This Row],[BudgetUSD]]</f>
        <v>2.6022928390204592</v>
      </c>
      <c r="T20" t="str">
        <f>IF(Table1[[#This Row],[ROI]]&gt;100%,"Hit","Flop")</f>
        <v>Hit</v>
      </c>
      <c r="V20" s="2"/>
    </row>
    <row r="21" spans="1:22" x14ac:dyDescent="0.3">
      <c r="A21">
        <v>302</v>
      </c>
      <c r="B21" t="s">
        <v>644</v>
      </c>
      <c r="C21" t="s">
        <v>86</v>
      </c>
      <c r="D21">
        <v>2014</v>
      </c>
      <c r="E21" s="1">
        <v>41750</v>
      </c>
      <c r="F21" t="s">
        <v>23</v>
      </c>
      <c r="G21" s="2">
        <v>42525186.170000002</v>
      </c>
      <c r="H21" s="2">
        <v>103943861.40000001</v>
      </c>
      <c r="I21" s="2">
        <v>163993914.30000001</v>
      </c>
      <c r="J21" s="2">
        <v>14066631.279999999</v>
      </c>
      <c r="K21" s="2">
        <v>45031713.68</v>
      </c>
      <c r="L21">
        <v>9</v>
      </c>
      <c r="M21">
        <v>97</v>
      </c>
      <c r="N21">
        <v>319</v>
      </c>
      <c r="O21">
        <v>2059</v>
      </c>
      <c r="P21" t="s">
        <v>645</v>
      </c>
      <c r="Q21" t="s">
        <v>518</v>
      </c>
      <c r="R21" s="2">
        <f>Table1[[#This Row],[Global_BoxOfficeUSD]]-Table1[[#This Row],[BudgetUSD]]</f>
        <v>121468728.13000001</v>
      </c>
      <c r="S21" s="15">
        <f>Table1[[#This Row],[Profit]]/Table1[[#This Row],[BudgetUSD]]</f>
        <v>2.8563949760128704</v>
      </c>
      <c r="T21" t="str">
        <f>IF(Table1[[#This Row],[ROI]]&gt;100%,"Hit","Flop")</f>
        <v>Hit</v>
      </c>
    </row>
    <row r="22" spans="1:22" x14ac:dyDescent="0.3">
      <c r="A22">
        <v>131</v>
      </c>
      <c r="B22" t="s">
        <v>354</v>
      </c>
      <c r="C22" t="s">
        <v>38</v>
      </c>
      <c r="D22">
        <v>1962</v>
      </c>
      <c r="E22" s="1">
        <v>22889</v>
      </c>
      <c r="F22" t="s">
        <v>23</v>
      </c>
      <c r="G22" s="2">
        <v>44390059.549999997</v>
      </c>
      <c r="H22" s="2">
        <v>80896756.370000005</v>
      </c>
      <c r="I22" s="2">
        <v>159739148.69999999</v>
      </c>
      <c r="J22" s="2">
        <v>12555368.83</v>
      </c>
      <c r="K22" s="2">
        <v>47417104.780000001</v>
      </c>
      <c r="L22">
        <v>4.5</v>
      </c>
      <c r="M22">
        <v>36</v>
      </c>
      <c r="N22">
        <v>5097</v>
      </c>
      <c r="O22">
        <v>8034</v>
      </c>
      <c r="P22" t="s">
        <v>202</v>
      </c>
      <c r="Q22" t="s">
        <v>130</v>
      </c>
      <c r="R22" s="2">
        <f>Table1[[#This Row],[Global_BoxOfficeUSD]]-Table1[[#This Row],[BudgetUSD]]</f>
        <v>115349089.14999999</v>
      </c>
      <c r="S22" s="15">
        <f>Table1[[#This Row],[Profit]]/Table1[[#This Row],[BudgetUSD]]</f>
        <v>2.5985342285939779</v>
      </c>
      <c r="T22" t="str">
        <f>IF(Table1[[#This Row],[ROI]]&gt;100%,"Hit","Flop")</f>
        <v>Hit</v>
      </c>
    </row>
    <row r="23" spans="1:22" x14ac:dyDescent="0.3">
      <c r="A23">
        <v>666</v>
      </c>
      <c r="B23" t="s">
        <v>1087</v>
      </c>
      <c r="C23" t="s">
        <v>67</v>
      </c>
      <c r="D23">
        <v>2014</v>
      </c>
      <c r="E23" s="1">
        <v>41923</v>
      </c>
      <c r="F23" t="s">
        <v>249</v>
      </c>
      <c r="G23" s="2">
        <v>36665751.479999997</v>
      </c>
      <c r="H23" s="2">
        <v>70354554.810000002</v>
      </c>
      <c r="I23" s="2">
        <v>155184818.69999999</v>
      </c>
      <c r="J23" s="2">
        <v>14345915.52</v>
      </c>
      <c r="K23" s="2">
        <v>39683467.490000002</v>
      </c>
      <c r="L23">
        <v>4.8</v>
      </c>
      <c r="M23">
        <v>52</v>
      </c>
      <c r="N23">
        <v>318</v>
      </c>
      <c r="O23">
        <v>533</v>
      </c>
      <c r="P23" t="s">
        <v>87</v>
      </c>
      <c r="Q23" t="s">
        <v>414</v>
      </c>
      <c r="R23" s="2">
        <f>Table1[[#This Row],[Global_BoxOfficeUSD]]-Table1[[#This Row],[BudgetUSD]]</f>
        <v>118519067.22</v>
      </c>
      <c r="S23" s="15">
        <f>Table1[[#This Row],[Profit]]/Table1[[#This Row],[BudgetUSD]]</f>
        <v>3.2324188769088336</v>
      </c>
      <c r="T23" t="str">
        <f>IF(Table1[[#This Row],[ROI]]&gt;100%,"Hit","Flop")</f>
        <v>Hit</v>
      </c>
    </row>
    <row r="24" spans="1:22" x14ac:dyDescent="0.3">
      <c r="A24">
        <v>629</v>
      </c>
      <c r="B24" t="s">
        <v>1046</v>
      </c>
      <c r="C24" t="s">
        <v>18</v>
      </c>
      <c r="D24">
        <v>2024</v>
      </c>
      <c r="E24" s="1">
        <v>45625</v>
      </c>
      <c r="F24" t="s">
        <v>23</v>
      </c>
      <c r="G24" s="2">
        <v>52591787.68</v>
      </c>
      <c r="H24" s="2">
        <v>73420164.870000005</v>
      </c>
      <c r="I24" s="2">
        <v>155076942.09999999</v>
      </c>
      <c r="J24" s="2">
        <v>18294580.170000002</v>
      </c>
      <c r="K24" s="2">
        <v>43271641.399999999</v>
      </c>
      <c r="L24">
        <v>8.6</v>
      </c>
      <c r="M24">
        <v>77</v>
      </c>
      <c r="N24">
        <v>1635</v>
      </c>
      <c r="O24">
        <v>1664</v>
      </c>
      <c r="P24" t="s">
        <v>865</v>
      </c>
      <c r="Q24" t="s">
        <v>1047</v>
      </c>
      <c r="R24" s="2">
        <f>Table1[[#This Row],[Global_BoxOfficeUSD]]-Table1[[#This Row],[BudgetUSD]]</f>
        <v>102485154.41999999</v>
      </c>
      <c r="S24" s="15">
        <f>Table1[[#This Row],[Profit]]/Table1[[#This Row],[BudgetUSD]]</f>
        <v>1.9486912109468721</v>
      </c>
      <c r="T24" t="str">
        <f>IF(Table1[[#This Row],[ROI]]&gt;100%,"Hit","Flop")</f>
        <v>Hit</v>
      </c>
    </row>
    <row r="25" spans="1:22" x14ac:dyDescent="0.3">
      <c r="A25">
        <v>773</v>
      </c>
      <c r="B25" t="s">
        <v>738</v>
      </c>
      <c r="C25" t="s">
        <v>67</v>
      </c>
      <c r="D25">
        <v>1962</v>
      </c>
      <c r="E25" s="1">
        <v>22798</v>
      </c>
      <c r="F25" t="s">
        <v>23</v>
      </c>
      <c r="G25" s="2">
        <v>34534807.770000003</v>
      </c>
      <c r="H25" s="2">
        <v>102856648</v>
      </c>
      <c r="I25" s="2">
        <v>154651055.40000001</v>
      </c>
      <c r="J25" s="2">
        <v>11969801.199999999</v>
      </c>
      <c r="K25" s="2">
        <v>44287721.740000002</v>
      </c>
      <c r="L25">
        <v>6.8</v>
      </c>
      <c r="M25">
        <v>51</v>
      </c>
      <c r="N25">
        <v>789</v>
      </c>
      <c r="O25">
        <v>50</v>
      </c>
      <c r="P25" t="s">
        <v>319</v>
      </c>
      <c r="Q25" t="s">
        <v>525</v>
      </c>
      <c r="R25" s="2">
        <f>Table1[[#This Row],[Global_BoxOfficeUSD]]-Table1[[#This Row],[BudgetUSD]]</f>
        <v>120116247.63</v>
      </c>
      <c r="S25" s="15">
        <f>Table1[[#This Row],[Profit]]/Table1[[#This Row],[BudgetUSD]]</f>
        <v>3.4781212170042428</v>
      </c>
      <c r="T25" t="str">
        <f>IF(Table1[[#This Row],[ROI]]&gt;100%,"Hit","Flop")</f>
        <v>Hit</v>
      </c>
    </row>
    <row r="26" spans="1:22" x14ac:dyDescent="0.3">
      <c r="A26">
        <v>405</v>
      </c>
      <c r="B26" t="s">
        <v>692</v>
      </c>
      <c r="C26" t="s">
        <v>38</v>
      </c>
      <c r="D26">
        <v>2018</v>
      </c>
      <c r="E26" s="1">
        <v>43193</v>
      </c>
      <c r="F26" t="s">
        <v>132</v>
      </c>
      <c r="G26" s="2">
        <v>94793570.030000001</v>
      </c>
      <c r="H26" s="2">
        <v>88006677.620000005</v>
      </c>
      <c r="I26" s="2">
        <v>153665535.59999999</v>
      </c>
      <c r="J26" s="2">
        <v>15026314.880000001</v>
      </c>
      <c r="K26" s="2">
        <v>45128304.149999999</v>
      </c>
      <c r="L26">
        <v>4.4000000000000004</v>
      </c>
      <c r="M26">
        <v>37</v>
      </c>
      <c r="N26">
        <v>2196</v>
      </c>
      <c r="O26">
        <v>1845</v>
      </c>
      <c r="P26" t="s">
        <v>231</v>
      </c>
      <c r="Q26" t="s">
        <v>96</v>
      </c>
      <c r="R26" s="2">
        <f>Table1[[#This Row],[Global_BoxOfficeUSD]]-Table1[[#This Row],[BudgetUSD]]</f>
        <v>58871965.569999993</v>
      </c>
      <c r="S26" s="15">
        <f>Table1[[#This Row],[Profit]]/Table1[[#This Row],[BudgetUSD]]</f>
        <v>0.62105441910636305</v>
      </c>
      <c r="T26" t="str">
        <f>IF(Table1[[#This Row],[ROI]]&gt;100%,"Hit","Flop")</f>
        <v>Flop</v>
      </c>
    </row>
    <row r="27" spans="1:22" x14ac:dyDescent="0.3">
      <c r="A27">
        <v>347</v>
      </c>
      <c r="B27" t="s">
        <v>701</v>
      </c>
      <c r="C27" t="s">
        <v>18</v>
      </c>
      <c r="D27">
        <v>2022</v>
      </c>
      <c r="E27" s="1">
        <v>44910</v>
      </c>
      <c r="F27" t="s">
        <v>139</v>
      </c>
      <c r="G27" s="2">
        <v>66793875.340000004</v>
      </c>
      <c r="H27" s="2">
        <v>87619339.409999996</v>
      </c>
      <c r="I27" s="2">
        <v>148910926.69999999</v>
      </c>
      <c r="J27" s="2">
        <v>15868203.699999999</v>
      </c>
      <c r="K27" s="2">
        <v>41245905.759999998</v>
      </c>
      <c r="L27">
        <v>4.5</v>
      </c>
      <c r="M27">
        <v>34</v>
      </c>
      <c r="N27">
        <v>2162</v>
      </c>
      <c r="O27">
        <v>1496</v>
      </c>
      <c r="P27" t="s">
        <v>64</v>
      </c>
      <c r="Q27" t="s">
        <v>203</v>
      </c>
      <c r="R27" s="2">
        <f>Table1[[#This Row],[Global_BoxOfficeUSD]]-Table1[[#This Row],[BudgetUSD]]</f>
        <v>82117051.359999985</v>
      </c>
      <c r="S27" s="15">
        <f>Table1[[#This Row],[Profit]]/Table1[[#This Row],[BudgetUSD]]</f>
        <v>1.2294098963714954</v>
      </c>
      <c r="T27" t="str">
        <f>IF(Table1[[#This Row],[ROI]]&gt;100%,"Hit","Flop")</f>
        <v>Hit</v>
      </c>
    </row>
    <row r="28" spans="1:22" x14ac:dyDescent="0.3">
      <c r="A28">
        <v>319</v>
      </c>
      <c r="B28" t="s">
        <v>76</v>
      </c>
      <c r="C28" t="s">
        <v>18</v>
      </c>
      <c r="D28">
        <v>1979</v>
      </c>
      <c r="E28" s="1">
        <v>29076</v>
      </c>
      <c r="F28" t="s">
        <v>152</v>
      </c>
      <c r="G28" s="2">
        <v>58728743.659999996</v>
      </c>
      <c r="H28" s="2">
        <v>79105502.420000002</v>
      </c>
      <c r="I28" s="2">
        <v>146407094.90000001</v>
      </c>
      <c r="J28" s="2">
        <v>21763669.850000001</v>
      </c>
      <c r="K28" s="2">
        <v>38936144.520000003</v>
      </c>
      <c r="L28">
        <v>6.6</v>
      </c>
      <c r="M28">
        <v>89</v>
      </c>
      <c r="N28">
        <v>7497</v>
      </c>
      <c r="O28">
        <v>997</v>
      </c>
      <c r="P28" t="s">
        <v>666</v>
      </c>
      <c r="Q28" t="s">
        <v>222</v>
      </c>
      <c r="R28" s="2">
        <f>Table1[[#This Row],[Global_BoxOfficeUSD]]-Table1[[#This Row],[BudgetUSD]]</f>
        <v>87678351.24000001</v>
      </c>
      <c r="S28" s="15">
        <f>Table1[[#This Row],[Profit]]/Table1[[#This Row],[BudgetUSD]]</f>
        <v>1.4929376277415163</v>
      </c>
      <c r="T28" t="str">
        <f>IF(Table1[[#This Row],[ROI]]&gt;100%,"Hit","Flop")</f>
        <v>Hit</v>
      </c>
    </row>
    <row r="29" spans="1:22" x14ac:dyDescent="0.3">
      <c r="A29">
        <v>103</v>
      </c>
      <c r="B29" t="s">
        <v>294</v>
      </c>
      <c r="C29" t="s">
        <v>107</v>
      </c>
      <c r="D29">
        <v>1982</v>
      </c>
      <c r="E29" s="1">
        <v>30175</v>
      </c>
      <c r="F29" t="s">
        <v>23</v>
      </c>
      <c r="G29" s="2">
        <v>36621112.329999998</v>
      </c>
      <c r="H29" s="2">
        <v>95608042.010000005</v>
      </c>
      <c r="I29" s="2">
        <v>145623169.5</v>
      </c>
      <c r="J29" s="2">
        <v>9649201.2599999998</v>
      </c>
      <c r="K29" s="2">
        <v>47769043.68</v>
      </c>
      <c r="L29">
        <v>6</v>
      </c>
      <c r="M29">
        <v>73</v>
      </c>
      <c r="N29">
        <v>2151</v>
      </c>
      <c r="O29">
        <v>128</v>
      </c>
      <c r="P29" t="s">
        <v>174</v>
      </c>
      <c r="Q29" t="s">
        <v>295</v>
      </c>
      <c r="R29" s="2">
        <f>Table1[[#This Row],[Global_BoxOfficeUSD]]-Table1[[#This Row],[BudgetUSD]]</f>
        <v>109002057.17</v>
      </c>
      <c r="S29" s="15">
        <f>Table1[[#This Row],[Profit]]/Table1[[#This Row],[BudgetUSD]]</f>
        <v>2.9764813309809153</v>
      </c>
      <c r="T29" t="str">
        <f>IF(Table1[[#This Row],[ROI]]&gt;100%,"Hit","Flop")</f>
        <v>Hit</v>
      </c>
    </row>
    <row r="30" spans="1:22" x14ac:dyDescent="0.3">
      <c r="A30">
        <v>352</v>
      </c>
      <c r="B30" t="s">
        <v>708</v>
      </c>
      <c r="C30" t="s">
        <v>38</v>
      </c>
      <c r="D30">
        <v>1992</v>
      </c>
      <c r="E30" s="1">
        <v>33927</v>
      </c>
      <c r="F30" t="s">
        <v>23</v>
      </c>
      <c r="G30" s="2">
        <v>41214104.079999998</v>
      </c>
      <c r="H30" s="2">
        <v>75236445.920000002</v>
      </c>
      <c r="I30" s="2">
        <v>139171345.30000001</v>
      </c>
      <c r="J30" s="2">
        <v>13330688.85</v>
      </c>
      <c r="K30" s="2">
        <v>37202522.539999999</v>
      </c>
      <c r="L30">
        <v>7.2</v>
      </c>
      <c r="M30">
        <v>60</v>
      </c>
      <c r="N30">
        <v>2006</v>
      </c>
      <c r="O30">
        <v>424</v>
      </c>
      <c r="P30" t="s">
        <v>167</v>
      </c>
      <c r="Q30" t="s">
        <v>484</v>
      </c>
      <c r="R30" s="2">
        <f>Table1[[#This Row],[Global_BoxOfficeUSD]]-Table1[[#This Row],[BudgetUSD]]</f>
        <v>97957241.220000014</v>
      </c>
      <c r="S30" s="15">
        <f>Table1[[#This Row],[Profit]]/Table1[[#This Row],[BudgetUSD]]</f>
        <v>2.3767892911091035</v>
      </c>
      <c r="T30" t="str">
        <f>IF(Table1[[#This Row],[ROI]]&gt;100%,"Hit","Flop")</f>
        <v>Hit</v>
      </c>
    </row>
    <row r="31" spans="1:22" x14ac:dyDescent="0.3">
      <c r="A31">
        <v>835</v>
      </c>
      <c r="B31" t="s">
        <v>1253</v>
      </c>
      <c r="C31" t="s">
        <v>18</v>
      </c>
      <c r="D31">
        <v>2016</v>
      </c>
      <c r="E31" s="1">
        <v>42712</v>
      </c>
      <c r="F31" t="s">
        <v>23</v>
      </c>
      <c r="G31" s="2">
        <v>66717338.380000003</v>
      </c>
      <c r="H31" s="2">
        <v>67691539.620000005</v>
      </c>
      <c r="I31" s="2">
        <v>135836955.69999999</v>
      </c>
      <c r="J31" s="2">
        <v>19862774.390000001</v>
      </c>
      <c r="K31" s="2">
        <v>28039414.620000001</v>
      </c>
      <c r="L31">
        <v>7.1</v>
      </c>
      <c r="M31">
        <v>88</v>
      </c>
      <c r="N31">
        <v>18631</v>
      </c>
      <c r="O31">
        <v>1019</v>
      </c>
      <c r="P31" t="s">
        <v>334</v>
      </c>
      <c r="Q31" t="s">
        <v>103</v>
      </c>
      <c r="R31" s="2">
        <f>Table1[[#This Row],[Global_BoxOfficeUSD]]-Table1[[#This Row],[BudgetUSD]]</f>
        <v>69119617.319999993</v>
      </c>
      <c r="S31" s="15">
        <f>Table1[[#This Row],[Profit]]/Table1[[#This Row],[BudgetUSD]]</f>
        <v>1.0360068161939764</v>
      </c>
      <c r="T31" t="str">
        <f>IF(Table1[[#This Row],[ROI]]&gt;100%,"Hit","Flop")</f>
        <v>Hit</v>
      </c>
    </row>
    <row r="32" spans="1:22" x14ac:dyDescent="0.3">
      <c r="A32">
        <v>470</v>
      </c>
      <c r="B32" t="s">
        <v>864</v>
      </c>
      <c r="C32" t="s">
        <v>67</v>
      </c>
      <c r="D32">
        <v>1990</v>
      </c>
      <c r="E32" s="1">
        <v>32991</v>
      </c>
      <c r="F32" t="s">
        <v>23</v>
      </c>
      <c r="G32" s="2">
        <v>33677041.609999999</v>
      </c>
      <c r="H32" s="2">
        <v>75891258.700000003</v>
      </c>
      <c r="I32" s="2">
        <v>135360799.30000001</v>
      </c>
      <c r="J32" s="2">
        <v>11676874.74</v>
      </c>
      <c r="K32" s="2">
        <v>39884646.780000001</v>
      </c>
      <c r="L32">
        <v>5.0999999999999996</v>
      </c>
      <c r="M32">
        <v>44</v>
      </c>
      <c r="N32">
        <v>3285</v>
      </c>
      <c r="O32">
        <v>503</v>
      </c>
      <c r="P32" t="s">
        <v>865</v>
      </c>
      <c r="Q32" t="s">
        <v>81</v>
      </c>
      <c r="R32" s="2">
        <f>Table1[[#This Row],[Global_BoxOfficeUSD]]-Table1[[#This Row],[BudgetUSD]]</f>
        <v>101683757.69000001</v>
      </c>
      <c r="S32" s="15">
        <f>Table1[[#This Row],[Profit]]/Table1[[#This Row],[BudgetUSD]]</f>
        <v>3.0193791624441921</v>
      </c>
      <c r="T32" t="str">
        <f>IF(Table1[[#This Row],[ROI]]&gt;100%,"Hit","Flop")</f>
        <v>Hit</v>
      </c>
    </row>
    <row r="33" spans="1:20" x14ac:dyDescent="0.3">
      <c r="A33">
        <v>528</v>
      </c>
      <c r="B33" t="s">
        <v>935</v>
      </c>
      <c r="C33" t="s">
        <v>38</v>
      </c>
      <c r="D33">
        <v>2023</v>
      </c>
      <c r="E33" s="1">
        <v>44987</v>
      </c>
      <c r="F33" t="s">
        <v>23</v>
      </c>
      <c r="G33" s="2">
        <v>86165984.049999997</v>
      </c>
      <c r="H33" s="2">
        <v>70044416.659999996</v>
      </c>
      <c r="I33" s="2">
        <v>134465861.09999999</v>
      </c>
      <c r="J33" s="2">
        <v>16377719.17</v>
      </c>
      <c r="K33" s="2">
        <v>39218430.240000002</v>
      </c>
      <c r="L33">
        <v>6.3</v>
      </c>
      <c r="M33">
        <v>68</v>
      </c>
      <c r="N33">
        <v>288</v>
      </c>
      <c r="O33">
        <v>50</v>
      </c>
      <c r="P33" t="s">
        <v>490</v>
      </c>
      <c r="Q33" t="s">
        <v>936</v>
      </c>
      <c r="R33" s="2">
        <f>Table1[[#This Row],[Global_BoxOfficeUSD]]-Table1[[#This Row],[BudgetUSD]]</f>
        <v>48299877.049999997</v>
      </c>
      <c r="S33" s="15">
        <f>Table1[[#This Row],[Profit]]/Table1[[#This Row],[BudgetUSD]]</f>
        <v>0.56054459985013072</v>
      </c>
      <c r="T33" t="str">
        <f>IF(Table1[[#This Row],[ROI]]&gt;100%,"Hit","Flop")</f>
        <v>Flop</v>
      </c>
    </row>
    <row r="34" spans="1:20" x14ac:dyDescent="0.3">
      <c r="A34">
        <v>783</v>
      </c>
      <c r="B34" t="s">
        <v>1204</v>
      </c>
      <c r="C34" t="s">
        <v>77</v>
      </c>
      <c r="D34">
        <v>1996</v>
      </c>
      <c r="E34" s="1">
        <v>35245</v>
      </c>
      <c r="F34" t="s">
        <v>318</v>
      </c>
      <c r="G34" s="2">
        <v>48253281.57</v>
      </c>
      <c r="H34" s="2">
        <v>55178264.460000001</v>
      </c>
      <c r="I34" s="2">
        <v>133299062.90000001</v>
      </c>
      <c r="J34" s="2">
        <v>9381742.6099999994</v>
      </c>
      <c r="K34" s="2">
        <v>31032157.719999999</v>
      </c>
      <c r="L34">
        <v>7.8</v>
      </c>
      <c r="M34">
        <v>82</v>
      </c>
      <c r="N34">
        <v>2595</v>
      </c>
      <c r="O34">
        <v>1417</v>
      </c>
      <c r="P34" t="s">
        <v>123</v>
      </c>
      <c r="Q34" t="s">
        <v>1093</v>
      </c>
      <c r="R34" s="2">
        <f>Table1[[#This Row],[Global_BoxOfficeUSD]]-Table1[[#This Row],[BudgetUSD]]</f>
        <v>85045781.330000013</v>
      </c>
      <c r="S34" s="15">
        <f>Table1[[#This Row],[Profit]]/Table1[[#This Row],[BudgetUSD]]</f>
        <v>1.7624869970061192</v>
      </c>
      <c r="T34" t="str">
        <f>IF(Table1[[#This Row],[ROI]]&gt;100%,"Hit","Flop")</f>
        <v>Hit</v>
      </c>
    </row>
    <row r="35" spans="1:20" x14ac:dyDescent="0.3">
      <c r="A35">
        <v>969</v>
      </c>
      <c r="B35" t="s">
        <v>1378</v>
      </c>
      <c r="C35" t="s">
        <v>38</v>
      </c>
      <c r="D35">
        <v>1971</v>
      </c>
      <c r="E35" s="1">
        <v>26125</v>
      </c>
      <c r="F35" t="s">
        <v>23</v>
      </c>
      <c r="G35" s="2">
        <v>35325728.899999999</v>
      </c>
      <c r="H35" s="2">
        <v>90234678.799999997</v>
      </c>
      <c r="I35" s="2">
        <v>131432909.2</v>
      </c>
      <c r="J35" s="2">
        <v>25633671.84</v>
      </c>
      <c r="K35" s="2">
        <v>39136807.229999997</v>
      </c>
      <c r="L35">
        <v>5</v>
      </c>
      <c r="M35">
        <v>67</v>
      </c>
      <c r="N35">
        <v>7396</v>
      </c>
      <c r="O35">
        <v>369</v>
      </c>
      <c r="P35" t="s">
        <v>153</v>
      </c>
      <c r="Q35" t="s">
        <v>112</v>
      </c>
      <c r="R35" s="2">
        <f>Table1[[#This Row],[Global_BoxOfficeUSD]]-Table1[[#This Row],[BudgetUSD]]</f>
        <v>96107180.300000012</v>
      </c>
      <c r="S35" s="15">
        <f>Table1[[#This Row],[Profit]]/Table1[[#This Row],[BudgetUSD]]</f>
        <v>2.7206000638248691</v>
      </c>
      <c r="T35" t="str">
        <f>IF(Table1[[#This Row],[ROI]]&gt;100%,"Hit","Flop")</f>
        <v>Hit</v>
      </c>
    </row>
    <row r="36" spans="1:20" x14ac:dyDescent="0.3">
      <c r="A36">
        <v>66</v>
      </c>
      <c r="B36" t="s">
        <v>209</v>
      </c>
      <c r="C36" t="s">
        <v>38</v>
      </c>
      <c r="D36">
        <v>1967</v>
      </c>
      <c r="E36" s="1">
        <v>24596</v>
      </c>
      <c r="F36" t="s">
        <v>23</v>
      </c>
      <c r="G36" s="2">
        <v>43879798.560000002</v>
      </c>
      <c r="H36" s="2">
        <v>59520827.82</v>
      </c>
      <c r="I36" s="2">
        <v>130245281.2</v>
      </c>
      <c r="J36" s="2">
        <v>6503349.25</v>
      </c>
      <c r="K36" s="2">
        <v>28404732.850000001</v>
      </c>
      <c r="L36">
        <v>4.2</v>
      </c>
      <c r="M36">
        <v>29</v>
      </c>
      <c r="N36">
        <v>1362</v>
      </c>
      <c r="O36">
        <v>381</v>
      </c>
      <c r="P36" t="s">
        <v>64</v>
      </c>
      <c r="Q36" t="s">
        <v>210</v>
      </c>
      <c r="R36" s="2">
        <f>Table1[[#This Row],[Global_BoxOfficeUSD]]-Table1[[#This Row],[BudgetUSD]]</f>
        <v>86365482.640000001</v>
      </c>
      <c r="S36" s="15">
        <f>Table1[[#This Row],[Profit]]/Table1[[#This Row],[BudgetUSD]]</f>
        <v>1.9682287857795489</v>
      </c>
      <c r="T36" t="str">
        <f>IF(Table1[[#This Row],[ROI]]&gt;100%,"Hit","Flop")</f>
        <v>Hit</v>
      </c>
    </row>
    <row r="37" spans="1:20" x14ac:dyDescent="0.3">
      <c r="A37">
        <v>843</v>
      </c>
      <c r="B37" t="s">
        <v>1261</v>
      </c>
      <c r="C37" t="s">
        <v>33</v>
      </c>
      <c r="D37">
        <v>1969</v>
      </c>
      <c r="E37" s="1">
        <v>25466</v>
      </c>
      <c r="F37" t="s">
        <v>23</v>
      </c>
      <c r="G37" s="2">
        <v>30653730.719999999</v>
      </c>
      <c r="H37" s="2">
        <v>53492542.600000001</v>
      </c>
      <c r="I37" s="2">
        <v>129039951.2</v>
      </c>
      <c r="J37" s="2">
        <v>12934815.33</v>
      </c>
      <c r="K37" s="2">
        <v>25277782.309999999</v>
      </c>
      <c r="L37">
        <v>5.3</v>
      </c>
      <c r="M37">
        <v>42</v>
      </c>
      <c r="N37">
        <v>1247</v>
      </c>
      <c r="O37">
        <v>591</v>
      </c>
      <c r="P37" t="s">
        <v>302</v>
      </c>
      <c r="Q37" t="s">
        <v>885</v>
      </c>
      <c r="R37" s="2">
        <f>Table1[[#This Row],[Global_BoxOfficeUSD]]-Table1[[#This Row],[BudgetUSD]]</f>
        <v>98386220.480000004</v>
      </c>
      <c r="S37" s="15">
        <f>Table1[[#This Row],[Profit]]/Table1[[#This Row],[BudgetUSD]]</f>
        <v>3.2096002075143173</v>
      </c>
      <c r="T37" t="str">
        <f>IF(Table1[[#This Row],[ROI]]&gt;100%,"Hit","Flop")</f>
        <v>Hit</v>
      </c>
    </row>
    <row r="38" spans="1:20" x14ac:dyDescent="0.3">
      <c r="A38">
        <v>679</v>
      </c>
      <c r="B38" t="s">
        <v>1098</v>
      </c>
      <c r="C38" t="s">
        <v>18</v>
      </c>
      <c r="D38">
        <v>1996</v>
      </c>
      <c r="E38" s="1">
        <v>35380</v>
      </c>
      <c r="F38" t="s">
        <v>23</v>
      </c>
      <c r="G38" s="2">
        <v>27824003.43</v>
      </c>
      <c r="H38" s="2">
        <v>59947618.140000001</v>
      </c>
      <c r="I38" s="2">
        <v>128935506.3</v>
      </c>
      <c r="J38" s="2">
        <v>6522218.8499999996</v>
      </c>
      <c r="K38" s="2">
        <v>25614529.75</v>
      </c>
      <c r="L38">
        <v>8</v>
      </c>
      <c r="M38">
        <v>92</v>
      </c>
      <c r="N38">
        <v>1118</v>
      </c>
      <c r="O38">
        <v>50</v>
      </c>
      <c r="P38" t="s">
        <v>111</v>
      </c>
      <c r="Q38" t="s">
        <v>322</v>
      </c>
      <c r="R38" s="2">
        <f>Table1[[#This Row],[Global_BoxOfficeUSD]]-Table1[[#This Row],[BudgetUSD]]</f>
        <v>101111502.87</v>
      </c>
      <c r="S38" s="15">
        <f>Table1[[#This Row],[Profit]]/Table1[[#This Row],[BudgetUSD]]</f>
        <v>3.6339667339524908</v>
      </c>
      <c r="T38" t="str">
        <f>IF(Table1[[#This Row],[ROI]]&gt;100%,"Hit","Flop")</f>
        <v>Hit</v>
      </c>
    </row>
    <row r="39" spans="1:20" x14ac:dyDescent="0.3">
      <c r="A39">
        <v>267</v>
      </c>
      <c r="B39" t="s">
        <v>592</v>
      </c>
      <c r="C39" t="s">
        <v>38</v>
      </c>
      <c r="D39">
        <v>1968</v>
      </c>
      <c r="E39" s="1">
        <v>24917</v>
      </c>
      <c r="F39" t="s">
        <v>23</v>
      </c>
      <c r="G39" s="2">
        <v>57030121.390000001</v>
      </c>
      <c r="H39" s="2">
        <v>75132511.459999993</v>
      </c>
      <c r="I39" s="2">
        <v>127841355.40000001</v>
      </c>
      <c r="J39" s="2">
        <v>21455311.949999999</v>
      </c>
      <c r="K39" s="2">
        <v>36771773.659999996</v>
      </c>
      <c r="L39">
        <v>5.0999999999999996</v>
      </c>
      <c r="M39">
        <v>44</v>
      </c>
      <c r="N39">
        <v>24619</v>
      </c>
      <c r="O39">
        <v>808</v>
      </c>
      <c r="P39" t="s">
        <v>184</v>
      </c>
      <c r="Q39" t="s">
        <v>593</v>
      </c>
      <c r="R39" s="2">
        <f>Table1[[#This Row],[Global_BoxOfficeUSD]]-Table1[[#This Row],[BudgetUSD]]</f>
        <v>70811234.010000005</v>
      </c>
      <c r="S39" s="15">
        <f>Table1[[#This Row],[Profit]]/Table1[[#This Row],[BudgetUSD]]</f>
        <v>1.2416462087772526</v>
      </c>
      <c r="T39" t="str">
        <f>IF(Table1[[#This Row],[ROI]]&gt;100%,"Hit","Flop")</f>
        <v>Hit</v>
      </c>
    </row>
    <row r="40" spans="1:20" x14ac:dyDescent="0.3">
      <c r="A40">
        <v>547</v>
      </c>
      <c r="B40" t="s">
        <v>958</v>
      </c>
      <c r="C40" t="s">
        <v>18</v>
      </c>
      <c r="D40">
        <v>1995</v>
      </c>
      <c r="E40" s="1">
        <v>34760</v>
      </c>
      <c r="F40" t="s">
        <v>23</v>
      </c>
      <c r="G40" s="2">
        <v>45201608.149999999</v>
      </c>
      <c r="H40" s="2">
        <v>57211086.869999997</v>
      </c>
      <c r="I40" s="2">
        <v>124862023.59999999</v>
      </c>
      <c r="J40" s="2">
        <v>6099853.9500000002</v>
      </c>
      <c r="K40" s="2">
        <v>32664320.850000001</v>
      </c>
      <c r="L40">
        <v>8.9</v>
      </c>
      <c r="M40">
        <v>100</v>
      </c>
      <c r="N40">
        <v>25034</v>
      </c>
      <c r="O40">
        <v>55</v>
      </c>
      <c r="P40" t="s">
        <v>277</v>
      </c>
      <c r="Q40" t="s">
        <v>185</v>
      </c>
      <c r="R40" s="2">
        <f>Table1[[#This Row],[Global_BoxOfficeUSD]]-Table1[[#This Row],[BudgetUSD]]</f>
        <v>79660415.449999988</v>
      </c>
      <c r="S40" s="15">
        <f>Table1[[#This Row],[Profit]]/Table1[[#This Row],[BudgetUSD]]</f>
        <v>1.7623358705657022</v>
      </c>
      <c r="T40" t="str">
        <f>IF(Table1[[#This Row],[ROI]]&gt;100%,"Hit","Flop")</f>
        <v>Hit</v>
      </c>
    </row>
    <row r="41" spans="1:20" x14ac:dyDescent="0.3">
      <c r="A41">
        <v>410</v>
      </c>
      <c r="B41" t="s">
        <v>789</v>
      </c>
      <c r="C41" t="s">
        <v>38</v>
      </c>
      <c r="D41">
        <v>2018</v>
      </c>
      <c r="E41" s="1">
        <v>43352</v>
      </c>
      <c r="F41" t="s">
        <v>139</v>
      </c>
      <c r="G41" s="2">
        <v>86627971.609999999</v>
      </c>
      <c r="H41" s="2">
        <v>71581390.430000007</v>
      </c>
      <c r="I41" s="2">
        <v>124799507.8</v>
      </c>
      <c r="J41" s="2">
        <v>9053263.8399999999</v>
      </c>
      <c r="K41" s="2">
        <v>34651980.950000003</v>
      </c>
      <c r="L41">
        <v>8.6999999999999993</v>
      </c>
      <c r="M41">
        <v>75</v>
      </c>
      <c r="N41">
        <v>1717</v>
      </c>
      <c r="O41">
        <v>50</v>
      </c>
      <c r="P41" t="s">
        <v>344</v>
      </c>
      <c r="Q41" t="s">
        <v>78</v>
      </c>
      <c r="R41" s="2">
        <f>Table1[[#This Row],[Global_BoxOfficeUSD]]-Table1[[#This Row],[BudgetUSD]]</f>
        <v>38171536.189999998</v>
      </c>
      <c r="S41" s="15">
        <f>Table1[[#This Row],[Profit]]/Table1[[#This Row],[BudgetUSD]]</f>
        <v>0.44063753866763311</v>
      </c>
      <c r="T41" t="str">
        <f>IF(Table1[[#This Row],[ROI]]&gt;100%,"Hit","Flop")</f>
        <v>Flop</v>
      </c>
    </row>
    <row r="42" spans="1:20" x14ac:dyDescent="0.3">
      <c r="A42">
        <v>745</v>
      </c>
      <c r="B42" t="s">
        <v>1164</v>
      </c>
      <c r="C42" t="s">
        <v>18</v>
      </c>
      <c r="D42">
        <v>2023</v>
      </c>
      <c r="E42" s="1">
        <v>45206</v>
      </c>
      <c r="F42" t="s">
        <v>23</v>
      </c>
      <c r="G42" s="2">
        <v>25361657.140000001</v>
      </c>
      <c r="H42" s="2">
        <v>85486670.090000004</v>
      </c>
      <c r="I42" s="2">
        <v>122632429.09999999</v>
      </c>
      <c r="J42" s="2">
        <v>11224767.02</v>
      </c>
      <c r="K42" s="2">
        <v>47264326.259999998</v>
      </c>
      <c r="L42">
        <v>9</v>
      </c>
      <c r="M42">
        <v>92</v>
      </c>
      <c r="N42">
        <v>1377</v>
      </c>
      <c r="O42">
        <v>6399</v>
      </c>
      <c r="P42" t="s">
        <v>326</v>
      </c>
      <c r="Q42" t="s">
        <v>996</v>
      </c>
      <c r="R42" s="2">
        <f>Table1[[#This Row],[Global_BoxOfficeUSD]]-Table1[[#This Row],[BudgetUSD]]</f>
        <v>97270771.959999993</v>
      </c>
      <c r="S42" s="15">
        <f>Table1[[#This Row],[Profit]]/Table1[[#This Row],[BudgetUSD]]</f>
        <v>3.8353476440065144</v>
      </c>
      <c r="T42" t="str">
        <f>IF(Table1[[#This Row],[ROI]]&gt;100%,"Hit","Flop")</f>
        <v>Hit</v>
      </c>
    </row>
    <row r="43" spans="1:20" x14ac:dyDescent="0.3">
      <c r="A43">
        <v>807</v>
      </c>
      <c r="B43" t="s">
        <v>1227</v>
      </c>
      <c r="C43" t="s">
        <v>18</v>
      </c>
      <c r="D43">
        <v>2024</v>
      </c>
      <c r="E43" s="1">
        <v>45600</v>
      </c>
      <c r="F43" t="s">
        <v>23</v>
      </c>
      <c r="G43" s="2">
        <v>43359706.259999998</v>
      </c>
      <c r="H43" s="2">
        <v>77181118.25</v>
      </c>
      <c r="I43" s="2">
        <v>122126174.3</v>
      </c>
      <c r="J43" s="2">
        <v>8210786.5999999996</v>
      </c>
      <c r="K43" s="2">
        <v>44637648.640000001</v>
      </c>
      <c r="L43">
        <v>6</v>
      </c>
      <c r="M43">
        <v>67</v>
      </c>
      <c r="N43">
        <v>7264</v>
      </c>
      <c r="O43">
        <v>1100</v>
      </c>
      <c r="P43" t="s">
        <v>95</v>
      </c>
      <c r="Q43" t="s">
        <v>982</v>
      </c>
      <c r="R43" s="2">
        <f>Table1[[#This Row],[Global_BoxOfficeUSD]]-Table1[[#This Row],[BudgetUSD]]</f>
        <v>78766468.039999992</v>
      </c>
      <c r="S43" s="15">
        <f>Table1[[#This Row],[Profit]]/Table1[[#This Row],[BudgetUSD]]</f>
        <v>1.816582141209367</v>
      </c>
      <c r="T43" t="str">
        <f>IF(Table1[[#This Row],[ROI]]&gt;100%,"Hit","Flop")</f>
        <v>Hit</v>
      </c>
    </row>
    <row r="44" spans="1:20" x14ac:dyDescent="0.3">
      <c r="A44">
        <v>575</v>
      </c>
      <c r="B44" t="s">
        <v>989</v>
      </c>
      <c r="C44" t="s">
        <v>38</v>
      </c>
      <c r="D44">
        <v>2009</v>
      </c>
      <c r="E44" s="1">
        <v>39946</v>
      </c>
      <c r="F44" t="s">
        <v>23</v>
      </c>
      <c r="G44" s="2">
        <v>81122949.349999994</v>
      </c>
      <c r="H44" s="2">
        <v>49094995.770000003</v>
      </c>
      <c r="I44" s="2">
        <v>118170759.5</v>
      </c>
      <c r="J44" s="2">
        <v>11863073.710000001</v>
      </c>
      <c r="K44" s="2">
        <v>23896177.949999999</v>
      </c>
      <c r="L44">
        <v>5.4</v>
      </c>
      <c r="M44">
        <v>49</v>
      </c>
      <c r="N44">
        <v>692</v>
      </c>
      <c r="O44">
        <v>5114</v>
      </c>
      <c r="P44" t="s">
        <v>990</v>
      </c>
      <c r="Q44" t="s">
        <v>253</v>
      </c>
      <c r="R44" s="2">
        <f>Table1[[#This Row],[Global_BoxOfficeUSD]]-Table1[[#This Row],[BudgetUSD]]</f>
        <v>37047810.150000006</v>
      </c>
      <c r="S44" s="15">
        <f>Table1[[#This Row],[Profit]]/Table1[[#This Row],[BudgetUSD]]</f>
        <v>0.45668716986804192</v>
      </c>
      <c r="T44" t="str">
        <f>IF(Table1[[#This Row],[ROI]]&gt;100%,"Hit","Flop")</f>
        <v>Flop</v>
      </c>
    </row>
    <row r="45" spans="1:20" x14ac:dyDescent="0.3">
      <c r="A45">
        <v>281</v>
      </c>
      <c r="B45" t="s">
        <v>617</v>
      </c>
      <c r="C45" t="s">
        <v>38</v>
      </c>
      <c r="D45">
        <v>2025</v>
      </c>
      <c r="E45" s="1">
        <v>45680</v>
      </c>
      <c r="F45" t="s">
        <v>139</v>
      </c>
      <c r="G45" s="2">
        <v>41171013.140000001</v>
      </c>
      <c r="H45" s="2">
        <v>50450924.189999998</v>
      </c>
      <c r="I45" s="2">
        <v>117821304.40000001</v>
      </c>
      <c r="J45" s="2">
        <v>7486937.9100000001</v>
      </c>
      <c r="K45" s="2">
        <v>29599150.960000001</v>
      </c>
      <c r="L45">
        <v>6.9</v>
      </c>
      <c r="M45">
        <v>57</v>
      </c>
      <c r="N45">
        <v>3587</v>
      </c>
      <c r="O45">
        <v>175570</v>
      </c>
      <c r="P45" t="s">
        <v>177</v>
      </c>
      <c r="Q45" t="s">
        <v>574</v>
      </c>
      <c r="R45" s="2">
        <f>Table1[[#This Row],[Global_BoxOfficeUSD]]-Table1[[#This Row],[BudgetUSD]]</f>
        <v>76650291.260000005</v>
      </c>
      <c r="S45" s="15">
        <f>Table1[[#This Row],[Profit]]/Table1[[#This Row],[BudgetUSD]]</f>
        <v>1.861753826639011</v>
      </c>
      <c r="T45" t="str">
        <f>IF(Table1[[#This Row],[ROI]]&gt;100%,"Hit","Flop")</f>
        <v>Hit</v>
      </c>
    </row>
    <row r="46" spans="1:20" x14ac:dyDescent="0.3">
      <c r="A46">
        <v>556</v>
      </c>
      <c r="B46" t="s">
        <v>969</v>
      </c>
      <c r="C46" t="s">
        <v>107</v>
      </c>
      <c r="D46">
        <v>1979</v>
      </c>
      <c r="E46" s="1">
        <v>29102</v>
      </c>
      <c r="F46" t="s">
        <v>23</v>
      </c>
      <c r="G46" s="2">
        <v>34990137.490000002</v>
      </c>
      <c r="H46" s="2">
        <v>67546372.030000001</v>
      </c>
      <c r="I46" s="2">
        <v>116308941.5</v>
      </c>
      <c r="J46" s="2">
        <v>13370904.58</v>
      </c>
      <c r="K46" s="2">
        <v>39218552.219999999</v>
      </c>
      <c r="L46">
        <v>7</v>
      </c>
      <c r="M46">
        <v>74</v>
      </c>
      <c r="N46">
        <v>5893</v>
      </c>
      <c r="O46">
        <v>1454</v>
      </c>
      <c r="P46" t="s">
        <v>386</v>
      </c>
      <c r="Q46" t="s">
        <v>578</v>
      </c>
      <c r="R46" s="2">
        <f>Table1[[#This Row],[Global_BoxOfficeUSD]]-Table1[[#This Row],[BudgetUSD]]</f>
        <v>81318804.00999999</v>
      </c>
      <c r="S46" s="15">
        <f>Table1[[#This Row],[Profit]]/Table1[[#This Row],[BudgetUSD]]</f>
        <v>2.324049284837491</v>
      </c>
      <c r="T46" t="str">
        <f>IF(Table1[[#This Row],[ROI]]&gt;100%,"Hit","Flop")</f>
        <v>Hit</v>
      </c>
    </row>
    <row r="47" spans="1:20" x14ac:dyDescent="0.3">
      <c r="A47">
        <v>219</v>
      </c>
      <c r="B47" t="s">
        <v>522</v>
      </c>
      <c r="C47" t="s">
        <v>86</v>
      </c>
      <c r="D47">
        <v>1973</v>
      </c>
      <c r="E47" s="1">
        <v>27012</v>
      </c>
      <c r="F47" t="s">
        <v>23</v>
      </c>
      <c r="G47" s="2">
        <v>23598812.789999999</v>
      </c>
      <c r="H47" s="2">
        <v>56857335.189999998</v>
      </c>
      <c r="I47" s="2">
        <v>111873501.2</v>
      </c>
      <c r="J47" s="2">
        <v>11401633.140000001</v>
      </c>
      <c r="K47" s="2">
        <v>25597787.98</v>
      </c>
      <c r="L47">
        <v>6.4</v>
      </c>
      <c r="M47">
        <v>63</v>
      </c>
      <c r="N47">
        <v>5239</v>
      </c>
      <c r="O47">
        <v>755</v>
      </c>
      <c r="P47" t="s">
        <v>523</v>
      </c>
      <c r="Q47" t="s">
        <v>235</v>
      </c>
      <c r="R47" s="2">
        <f>Table1[[#This Row],[Global_BoxOfficeUSD]]-Table1[[#This Row],[BudgetUSD]]</f>
        <v>88274688.409999996</v>
      </c>
      <c r="S47" s="15">
        <f>Table1[[#This Row],[Profit]]/Table1[[#This Row],[BudgetUSD]]</f>
        <v>3.7406410735800408</v>
      </c>
      <c r="T47" t="str">
        <f>IF(Table1[[#This Row],[ROI]]&gt;100%,"Hit","Flop")</f>
        <v>Hit</v>
      </c>
    </row>
    <row r="48" spans="1:20" x14ac:dyDescent="0.3">
      <c r="A48">
        <v>210</v>
      </c>
      <c r="B48" t="s">
        <v>508</v>
      </c>
      <c r="C48" t="s">
        <v>18</v>
      </c>
      <c r="D48">
        <v>1964</v>
      </c>
      <c r="E48" s="1">
        <v>23626</v>
      </c>
      <c r="F48" t="s">
        <v>23</v>
      </c>
      <c r="G48" s="2">
        <v>65247705.369999997</v>
      </c>
      <c r="H48" s="2">
        <v>65673076.060000002</v>
      </c>
      <c r="I48" s="2">
        <v>109724867</v>
      </c>
      <c r="J48" s="2">
        <v>16155608.17</v>
      </c>
      <c r="K48" s="2">
        <v>26743970.620000001</v>
      </c>
      <c r="L48">
        <v>7.3</v>
      </c>
      <c r="M48">
        <v>58</v>
      </c>
      <c r="N48">
        <v>2134</v>
      </c>
      <c r="O48">
        <v>12341</v>
      </c>
      <c r="P48" t="s">
        <v>187</v>
      </c>
      <c r="Q48" t="s">
        <v>497</v>
      </c>
      <c r="R48" s="2">
        <f>Table1[[#This Row],[Global_BoxOfficeUSD]]-Table1[[#This Row],[BudgetUSD]]</f>
        <v>44477161.630000003</v>
      </c>
      <c r="S48" s="15">
        <f>Table1[[#This Row],[Profit]]/Table1[[#This Row],[BudgetUSD]]</f>
        <v>0.68166629581505545</v>
      </c>
      <c r="T48" t="str">
        <f>IF(Table1[[#This Row],[ROI]]&gt;100%,"Hit","Flop")</f>
        <v>Flop</v>
      </c>
    </row>
    <row r="49" spans="1:20" x14ac:dyDescent="0.3">
      <c r="A49">
        <v>828</v>
      </c>
      <c r="B49" s="14" t="s">
        <v>1246</v>
      </c>
      <c r="C49" t="s">
        <v>18</v>
      </c>
      <c r="D49">
        <v>2024</v>
      </c>
      <c r="E49" s="1">
        <v>45443</v>
      </c>
      <c r="F49" t="s">
        <v>23</v>
      </c>
      <c r="G49" s="2">
        <v>21857206.530000001</v>
      </c>
      <c r="H49" s="2">
        <v>64488814.859999999</v>
      </c>
      <c r="I49" s="2">
        <v>108083462.90000001</v>
      </c>
      <c r="J49" s="2">
        <v>7809201.75</v>
      </c>
      <c r="K49" s="2">
        <v>27667181.52</v>
      </c>
      <c r="L49">
        <v>2</v>
      </c>
      <c r="M49">
        <v>2</v>
      </c>
      <c r="N49">
        <v>4756</v>
      </c>
      <c r="O49">
        <v>50</v>
      </c>
      <c r="P49" t="s">
        <v>126</v>
      </c>
      <c r="Q49" t="s">
        <v>293</v>
      </c>
      <c r="R49" s="2">
        <f>Table1[[#This Row],[Global_BoxOfficeUSD]]-Table1[[#This Row],[BudgetUSD]]</f>
        <v>86226256.370000005</v>
      </c>
      <c r="S49" s="15">
        <f>Table1[[#This Row],[Profit]]/Table1[[#This Row],[BudgetUSD]]</f>
        <v>3.944980629233227</v>
      </c>
      <c r="T49" t="str">
        <f>IF(Table1[[#This Row],[ROI]]&gt;100%,"Hit","Flop")</f>
        <v>Hit</v>
      </c>
    </row>
    <row r="50" spans="1:20" x14ac:dyDescent="0.3">
      <c r="A50">
        <v>315</v>
      </c>
      <c r="B50" t="s">
        <v>660</v>
      </c>
      <c r="C50" t="s">
        <v>77</v>
      </c>
      <c r="D50">
        <v>1993</v>
      </c>
      <c r="E50" s="1">
        <v>34113</v>
      </c>
      <c r="F50" t="s">
        <v>23</v>
      </c>
      <c r="G50" s="2">
        <v>42067175.07</v>
      </c>
      <c r="H50" s="2">
        <v>72599070.629999995</v>
      </c>
      <c r="I50" s="2">
        <v>106194619.3</v>
      </c>
      <c r="J50" s="2">
        <v>13658825.73</v>
      </c>
      <c r="K50" s="2">
        <v>40703728.619999997</v>
      </c>
      <c r="L50">
        <v>5.2</v>
      </c>
      <c r="M50">
        <v>40</v>
      </c>
      <c r="N50">
        <v>2557</v>
      </c>
      <c r="O50">
        <v>2231</v>
      </c>
      <c r="P50" t="s">
        <v>246</v>
      </c>
      <c r="Q50" t="s">
        <v>72</v>
      </c>
      <c r="R50" s="2">
        <f>Table1[[#This Row],[Global_BoxOfficeUSD]]-Table1[[#This Row],[BudgetUSD]]</f>
        <v>64127444.229999997</v>
      </c>
      <c r="S50" s="15">
        <f>Table1[[#This Row],[Profit]]/Table1[[#This Row],[BudgetUSD]]</f>
        <v>1.5244057658564329</v>
      </c>
      <c r="T50" t="str">
        <f>IF(Table1[[#This Row],[ROI]]&gt;100%,"Hit","Flop")</f>
        <v>Hit</v>
      </c>
    </row>
    <row r="51" spans="1:20" x14ac:dyDescent="0.3">
      <c r="A51">
        <v>199</v>
      </c>
      <c r="B51" t="s">
        <v>487</v>
      </c>
      <c r="C51" t="s">
        <v>18</v>
      </c>
      <c r="D51">
        <v>1959</v>
      </c>
      <c r="E51" s="1">
        <v>21907</v>
      </c>
      <c r="F51" t="s">
        <v>23</v>
      </c>
      <c r="G51" s="2">
        <v>23540297.66</v>
      </c>
      <c r="H51" s="2">
        <v>66571596.5</v>
      </c>
      <c r="I51" s="2">
        <v>104228350</v>
      </c>
      <c r="J51" s="2">
        <v>6798929.0899999999</v>
      </c>
      <c r="K51" s="2">
        <v>39873036.359999999</v>
      </c>
      <c r="L51">
        <v>6.1</v>
      </c>
      <c r="M51">
        <v>55</v>
      </c>
      <c r="N51">
        <v>1902</v>
      </c>
      <c r="O51">
        <v>9195</v>
      </c>
      <c r="P51" t="s">
        <v>488</v>
      </c>
      <c r="Q51" t="s">
        <v>21</v>
      </c>
      <c r="R51" s="2">
        <f>Table1[[#This Row],[Global_BoxOfficeUSD]]-Table1[[#This Row],[BudgetUSD]]</f>
        <v>80688052.340000004</v>
      </c>
      <c r="S51" s="15">
        <f>Table1[[#This Row],[Profit]]/Table1[[#This Row],[BudgetUSD]]</f>
        <v>3.4276564173233144</v>
      </c>
      <c r="T51" t="str">
        <f>IF(Table1[[#This Row],[ROI]]&gt;100%,"Hit","Flop")</f>
        <v>Hit</v>
      </c>
    </row>
    <row r="52" spans="1:20" x14ac:dyDescent="0.3">
      <c r="A52">
        <v>324</v>
      </c>
      <c r="B52" t="s">
        <v>672</v>
      </c>
      <c r="C52" t="s">
        <v>86</v>
      </c>
      <c r="D52">
        <v>1994</v>
      </c>
      <c r="E52" s="1">
        <v>34397</v>
      </c>
      <c r="F52" t="s">
        <v>139</v>
      </c>
      <c r="G52" s="2">
        <v>47396134.270000003</v>
      </c>
      <c r="H52" s="2">
        <v>70712276.810000002</v>
      </c>
      <c r="I52" s="2">
        <v>104170069.2</v>
      </c>
      <c r="J52" s="2">
        <v>14707322.949999999</v>
      </c>
      <c r="K52" s="2">
        <v>30659304.949999999</v>
      </c>
      <c r="L52">
        <v>7.7</v>
      </c>
      <c r="M52">
        <v>100</v>
      </c>
      <c r="N52">
        <v>10287</v>
      </c>
      <c r="O52">
        <v>377</v>
      </c>
      <c r="P52" t="s">
        <v>523</v>
      </c>
      <c r="Q52" t="s">
        <v>288</v>
      </c>
      <c r="R52" s="2">
        <f>Table1[[#This Row],[Global_BoxOfficeUSD]]-Table1[[#This Row],[BudgetUSD]]</f>
        <v>56773934.93</v>
      </c>
      <c r="S52" s="15">
        <f>Table1[[#This Row],[Profit]]/Table1[[#This Row],[BudgetUSD]]</f>
        <v>1.1978600323515372</v>
      </c>
      <c r="T52" t="str">
        <f>IF(Table1[[#This Row],[ROI]]&gt;100%,"Hit","Flop")</f>
        <v>Hit</v>
      </c>
    </row>
    <row r="53" spans="1:20" x14ac:dyDescent="0.3">
      <c r="A53">
        <v>672</v>
      </c>
      <c r="B53" t="s">
        <v>850</v>
      </c>
      <c r="C53" t="s">
        <v>18</v>
      </c>
      <c r="D53">
        <v>1991</v>
      </c>
      <c r="E53" s="1">
        <v>33490</v>
      </c>
      <c r="F53" t="s">
        <v>23</v>
      </c>
      <c r="G53" s="2">
        <v>92454690.689999998</v>
      </c>
      <c r="H53" s="2">
        <v>43313882.520000003</v>
      </c>
      <c r="I53" s="2">
        <v>101706740.5</v>
      </c>
      <c r="J53" s="2">
        <v>4788164.58</v>
      </c>
      <c r="K53" s="2">
        <v>25426510.550000001</v>
      </c>
      <c r="L53">
        <v>4.2</v>
      </c>
      <c r="M53">
        <v>38</v>
      </c>
      <c r="N53">
        <v>8210</v>
      </c>
      <c r="O53">
        <v>590</v>
      </c>
      <c r="P53" t="s">
        <v>212</v>
      </c>
      <c r="Q53" t="s">
        <v>203</v>
      </c>
      <c r="R53" s="2">
        <f>Table1[[#This Row],[Global_BoxOfficeUSD]]-Table1[[#This Row],[BudgetUSD]]</f>
        <v>9252049.8100000024</v>
      </c>
      <c r="S53" s="15">
        <f>Table1[[#This Row],[Profit]]/Table1[[#This Row],[BudgetUSD]]</f>
        <v>0.10007117801109808</v>
      </c>
      <c r="T53" t="str">
        <f>IF(Table1[[#This Row],[ROI]]&gt;100%,"Hit","Flop")</f>
        <v>Flop</v>
      </c>
    </row>
    <row r="54" spans="1:20" x14ac:dyDescent="0.3">
      <c r="A54">
        <v>38</v>
      </c>
      <c r="B54" t="s">
        <v>135</v>
      </c>
      <c r="C54" t="s">
        <v>77</v>
      </c>
      <c r="D54">
        <v>2017</v>
      </c>
      <c r="E54" s="1">
        <v>42784</v>
      </c>
      <c r="F54" t="s">
        <v>23</v>
      </c>
      <c r="G54" s="2">
        <v>64470180.119999997</v>
      </c>
      <c r="H54" s="2">
        <v>46679051.799999997</v>
      </c>
      <c r="I54" s="2">
        <v>96768123.939999998</v>
      </c>
      <c r="J54" s="2">
        <v>6074963.3700000001</v>
      </c>
      <c r="K54" s="2">
        <v>22218475.449999999</v>
      </c>
      <c r="L54">
        <v>4.2</v>
      </c>
      <c r="M54">
        <v>27</v>
      </c>
      <c r="N54">
        <v>265</v>
      </c>
      <c r="O54">
        <v>21363</v>
      </c>
      <c r="P54" t="s">
        <v>136</v>
      </c>
      <c r="Q54" t="s">
        <v>137</v>
      </c>
      <c r="R54" s="2">
        <f>Table1[[#This Row],[Global_BoxOfficeUSD]]-Table1[[#This Row],[BudgetUSD]]</f>
        <v>32297943.82</v>
      </c>
      <c r="S54" s="15">
        <f>Table1[[#This Row],[Profit]]/Table1[[#This Row],[BudgetUSD]]</f>
        <v>0.50097492763139506</v>
      </c>
      <c r="T54" t="str">
        <f>IF(Table1[[#This Row],[ROI]]&gt;100%,"Hit","Flop")</f>
        <v>Flop</v>
      </c>
    </row>
    <row r="55" spans="1:20" x14ac:dyDescent="0.3">
      <c r="A55">
        <v>17</v>
      </c>
      <c r="B55" t="s">
        <v>73</v>
      </c>
      <c r="C55" t="s">
        <v>45</v>
      </c>
      <c r="D55">
        <v>2019</v>
      </c>
      <c r="E55" s="1">
        <v>43562</v>
      </c>
      <c r="F55" t="s">
        <v>23</v>
      </c>
      <c r="G55" s="2">
        <v>20109873.91</v>
      </c>
      <c r="H55" s="2">
        <v>45376636.880000003</v>
      </c>
      <c r="I55" s="2">
        <v>96710883.849999994</v>
      </c>
      <c r="J55" s="2">
        <v>4752425.6900000004</v>
      </c>
      <c r="K55" s="2">
        <v>19705757.170000002</v>
      </c>
      <c r="L55">
        <v>4.2</v>
      </c>
      <c r="M55">
        <v>36</v>
      </c>
      <c r="N55">
        <v>8691</v>
      </c>
      <c r="O55">
        <v>3326</v>
      </c>
      <c r="P55" t="s">
        <v>74</v>
      </c>
      <c r="Q55" t="s">
        <v>75</v>
      </c>
      <c r="R55" s="2">
        <f>Table1[[#This Row],[Global_BoxOfficeUSD]]-Table1[[#This Row],[BudgetUSD]]</f>
        <v>76601009.939999998</v>
      </c>
      <c r="S55" s="15">
        <f>Table1[[#This Row],[Profit]]/Table1[[#This Row],[BudgetUSD]]</f>
        <v>3.8091243278213076</v>
      </c>
      <c r="T55" t="str">
        <f>IF(Table1[[#This Row],[ROI]]&gt;100%,"Hit","Flop")</f>
        <v>Hit</v>
      </c>
    </row>
    <row r="56" spans="1:20" x14ac:dyDescent="0.3">
      <c r="A56">
        <v>396</v>
      </c>
      <c r="B56" t="s">
        <v>770</v>
      </c>
      <c r="C56" t="s">
        <v>86</v>
      </c>
      <c r="D56">
        <v>1996</v>
      </c>
      <c r="E56" s="1">
        <v>35423</v>
      </c>
      <c r="F56" t="s">
        <v>318</v>
      </c>
      <c r="G56" s="2">
        <v>33091269.460000001</v>
      </c>
      <c r="H56" s="2">
        <v>41294517.060000002</v>
      </c>
      <c r="I56" s="2">
        <v>96604383.780000001</v>
      </c>
      <c r="J56" s="2">
        <v>9317793.1899999995</v>
      </c>
      <c r="K56" s="2">
        <v>16959524.289999999</v>
      </c>
      <c r="L56">
        <v>9.3000000000000007</v>
      </c>
      <c r="M56">
        <v>92</v>
      </c>
      <c r="N56">
        <v>3930</v>
      </c>
      <c r="O56">
        <v>50</v>
      </c>
      <c r="P56" t="s">
        <v>287</v>
      </c>
      <c r="Q56" t="s">
        <v>28</v>
      </c>
      <c r="R56" s="2">
        <f>Table1[[#This Row],[Global_BoxOfficeUSD]]-Table1[[#This Row],[BudgetUSD]]</f>
        <v>63513114.32</v>
      </c>
      <c r="S56" s="15">
        <f>Table1[[#This Row],[Profit]]/Table1[[#This Row],[BudgetUSD]]</f>
        <v>1.9193314537773554</v>
      </c>
      <c r="T56" t="str">
        <f>IF(Table1[[#This Row],[ROI]]&gt;100%,"Hit","Flop")</f>
        <v>Hit</v>
      </c>
    </row>
    <row r="57" spans="1:20" x14ac:dyDescent="0.3">
      <c r="A57">
        <v>868</v>
      </c>
      <c r="B57" t="s">
        <v>1284</v>
      </c>
      <c r="C57" t="s">
        <v>18</v>
      </c>
      <c r="D57">
        <v>1998</v>
      </c>
      <c r="E57" s="1">
        <v>36079</v>
      </c>
      <c r="F57" t="s">
        <v>23</v>
      </c>
      <c r="G57" s="2">
        <v>53312831.100000001</v>
      </c>
      <c r="H57" s="2">
        <v>51268117.549999997</v>
      </c>
      <c r="I57" s="2">
        <v>96596489.189999998</v>
      </c>
      <c r="J57" s="2">
        <v>7826596.8300000001</v>
      </c>
      <c r="K57" s="2">
        <v>30088855.469999999</v>
      </c>
      <c r="L57">
        <v>5.6</v>
      </c>
      <c r="M57">
        <v>69</v>
      </c>
      <c r="N57">
        <v>3015</v>
      </c>
      <c r="O57">
        <v>262</v>
      </c>
      <c r="P57" t="s">
        <v>42</v>
      </c>
      <c r="Q57" t="s">
        <v>550</v>
      </c>
      <c r="R57" s="2">
        <f>Table1[[#This Row],[Global_BoxOfficeUSD]]-Table1[[#This Row],[BudgetUSD]]</f>
        <v>43283658.089999996</v>
      </c>
      <c r="S57" s="15">
        <f>Table1[[#This Row],[Profit]]/Table1[[#This Row],[BudgetUSD]]</f>
        <v>0.81188068982515538</v>
      </c>
      <c r="T57" t="str">
        <f>IF(Table1[[#This Row],[ROI]]&gt;100%,"Hit","Flop")</f>
        <v>Flop</v>
      </c>
    </row>
    <row r="58" spans="1:20" x14ac:dyDescent="0.3">
      <c r="A58">
        <v>981</v>
      </c>
      <c r="B58" t="s">
        <v>1392</v>
      </c>
      <c r="C58" t="s">
        <v>77</v>
      </c>
      <c r="D58">
        <v>2011</v>
      </c>
      <c r="E58" s="1">
        <v>40864</v>
      </c>
      <c r="F58" t="s">
        <v>23</v>
      </c>
      <c r="G58" s="2">
        <v>20037122.559999999</v>
      </c>
      <c r="H58" s="2">
        <v>56002190.210000001</v>
      </c>
      <c r="I58" s="2">
        <v>93024550.849999994</v>
      </c>
      <c r="J58" s="2">
        <v>11267471.869999999</v>
      </c>
      <c r="K58" s="2">
        <v>23150033.07</v>
      </c>
      <c r="L58">
        <v>8.6999999999999993</v>
      </c>
      <c r="M58">
        <v>95</v>
      </c>
      <c r="N58">
        <v>1003</v>
      </c>
      <c r="O58">
        <v>4668</v>
      </c>
      <c r="P58" t="s">
        <v>769</v>
      </c>
      <c r="Q58" t="s">
        <v>178</v>
      </c>
      <c r="R58" s="2">
        <f>Table1[[#This Row],[Global_BoxOfficeUSD]]-Table1[[#This Row],[BudgetUSD]]</f>
        <v>72987428.289999992</v>
      </c>
      <c r="S58" s="15">
        <f>Table1[[#This Row],[Profit]]/Table1[[#This Row],[BudgetUSD]]</f>
        <v>3.6426102635966506</v>
      </c>
      <c r="T58" t="str">
        <f>IF(Table1[[#This Row],[ROI]]&gt;100%,"Hit","Flop")</f>
        <v>Hit</v>
      </c>
    </row>
    <row r="59" spans="1:20" x14ac:dyDescent="0.3">
      <c r="A59">
        <v>115</v>
      </c>
      <c r="B59" t="s">
        <v>321</v>
      </c>
      <c r="C59" t="s">
        <v>45</v>
      </c>
      <c r="D59">
        <v>2002</v>
      </c>
      <c r="E59" s="1">
        <v>37532</v>
      </c>
      <c r="F59" t="s">
        <v>249</v>
      </c>
      <c r="G59" s="2">
        <v>29038890.559999999</v>
      </c>
      <c r="H59" s="2">
        <v>64269699.859999999</v>
      </c>
      <c r="I59" s="2">
        <v>93011939.180000007</v>
      </c>
      <c r="J59" s="2">
        <v>17020538.620000001</v>
      </c>
      <c r="K59" s="2">
        <v>33684876.439999998</v>
      </c>
      <c r="L59">
        <v>7</v>
      </c>
      <c r="M59">
        <v>77</v>
      </c>
      <c r="N59">
        <v>1597</v>
      </c>
      <c r="O59">
        <v>50</v>
      </c>
      <c r="P59" t="s">
        <v>216</v>
      </c>
      <c r="Q59" t="s">
        <v>322</v>
      </c>
      <c r="R59" s="2">
        <f>Table1[[#This Row],[Global_BoxOfficeUSD]]-Table1[[#This Row],[BudgetUSD]]</f>
        <v>63973048.620000005</v>
      </c>
      <c r="S59" s="15">
        <f>Table1[[#This Row],[Profit]]/Table1[[#This Row],[BudgetUSD]]</f>
        <v>2.2030128350743716</v>
      </c>
      <c r="T59" t="str">
        <f>IF(Table1[[#This Row],[ROI]]&gt;100%,"Hit","Flop")</f>
        <v>Hit</v>
      </c>
    </row>
    <row r="60" spans="1:20" x14ac:dyDescent="0.3">
      <c r="A60">
        <v>89</v>
      </c>
      <c r="B60" t="s">
        <v>261</v>
      </c>
      <c r="C60" t="s">
        <v>86</v>
      </c>
      <c r="D60">
        <v>2018</v>
      </c>
      <c r="E60" s="1">
        <v>43254</v>
      </c>
      <c r="F60" t="s">
        <v>23</v>
      </c>
      <c r="G60" s="2">
        <v>19986352.030000001</v>
      </c>
      <c r="H60" s="2">
        <v>58923649.399999999</v>
      </c>
      <c r="I60" s="2">
        <v>90020273.709999993</v>
      </c>
      <c r="J60" s="2">
        <v>15941406.76</v>
      </c>
      <c r="K60" s="2">
        <v>33920310.350000001</v>
      </c>
      <c r="L60">
        <v>4.9000000000000004</v>
      </c>
      <c r="M60">
        <v>71</v>
      </c>
      <c r="N60">
        <v>36798</v>
      </c>
      <c r="O60">
        <v>50</v>
      </c>
      <c r="P60" t="s">
        <v>146</v>
      </c>
      <c r="Q60" t="s">
        <v>262</v>
      </c>
      <c r="R60" s="2">
        <f>Table1[[#This Row],[Global_BoxOfficeUSD]]-Table1[[#This Row],[BudgetUSD]]</f>
        <v>70033921.679999992</v>
      </c>
      <c r="S60" s="15">
        <f>Table1[[#This Row],[Profit]]/Table1[[#This Row],[BudgetUSD]]</f>
        <v>3.5040872678954802</v>
      </c>
      <c r="T60" t="str">
        <f>IF(Table1[[#This Row],[ROI]]&gt;100%,"Hit","Flop")</f>
        <v>Hit</v>
      </c>
    </row>
    <row r="61" spans="1:20" x14ac:dyDescent="0.3">
      <c r="A61">
        <v>694</v>
      </c>
      <c r="B61" t="s">
        <v>1113</v>
      </c>
      <c r="C61" t="s">
        <v>45</v>
      </c>
      <c r="D61">
        <v>2011</v>
      </c>
      <c r="E61" s="1">
        <v>40635</v>
      </c>
      <c r="F61" t="s">
        <v>23</v>
      </c>
      <c r="G61" s="2">
        <v>21231345.010000002</v>
      </c>
      <c r="H61" s="2">
        <v>57172413.689999998</v>
      </c>
      <c r="I61" s="2">
        <v>89508335.030000001</v>
      </c>
      <c r="J61" s="2">
        <v>6458985.7199999997</v>
      </c>
      <c r="K61" s="2">
        <v>32289247.359999999</v>
      </c>
      <c r="L61">
        <v>7.8</v>
      </c>
      <c r="M61">
        <v>97</v>
      </c>
      <c r="N61">
        <v>2118</v>
      </c>
      <c r="O61">
        <v>441</v>
      </c>
      <c r="P61" t="s">
        <v>149</v>
      </c>
      <c r="Q61" t="s">
        <v>559</v>
      </c>
      <c r="R61" s="2">
        <f>Table1[[#This Row],[Global_BoxOfficeUSD]]-Table1[[#This Row],[BudgetUSD]]</f>
        <v>68276990.019999996</v>
      </c>
      <c r="S61" s="15">
        <f>Table1[[#This Row],[Profit]]/Table1[[#This Row],[BudgetUSD]]</f>
        <v>3.2158579679168424</v>
      </c>
      <c r="T61" t="str">
        <f>IF(Table1[[#This Row],[ROI]]&gt;100%,"Hit","Flop")</f>
        <v>Hit</v>
      </c>
    </row>
    <row r="62" spans="1:20" x14ac:dyDescent="0.3">
      <c r="A62">
        <v>641</v>
      </c>
      <c r="B62" t="s">
        <v>1060</v>
      </c>
      <c r="C62" t="s">
        <v>33</v>
      </c>
      <c r="D62">
        <v>1977</v>
      </c>
      <c r="E62" s="1">
        <v>28433</v>
      </c>
      <c r="F62" t="s">
        <v>23</v>
      </c>
      <c r="G62" s="2">
        <v>24087056.68</v>
      </c>
      <c r="H62" s="2">
        <v>50782054.57</v>
      </c>
      <c r="I62" s="2">
        <v>88315089.709999993</v>
      </c>
      <c r="J62" s="2">
        <v>8645689.4299999997</v>
      </c>
      <c r="K62" s="2">
        <v>29562464.460000001</v>
      </c>
      <c r="L62">
        <v>7</v>
      </c>
      <c r="M62">
        <v>66</v>
      </c>
      <c r="N62">
        <v>1497</v>
      </c>
      <c r="O62">
        <v>294</v>
      </c>
      <c r="P62" t="s">
        <v>450</v>
      </c>
      <c r="Q62" t="s">
        <v>1061</v>
      </c>
      <c r="R62" s="2">
        <f>Table1[[#This Row],[Global_BoxOfficeUSD]]-Table1[[#This Row],[BudgetUSD]]</f>
        <v>64228033.029999994</v>
      </c>
      <c r="S62" s="15">
        <f>Table1[[#This Row],[Profit]]/Table1[[#This Row],[BudgetUSD]]</f>
        <v>2.666495698635106</v>
      </c>
      <c r="T62" t="str">
        <f>IF(Table1[[#This Row],[ROI]]&gt;100%,"Hit","Flop")</f>
        <v>Hit</v>
      </c>
    </row>
    <row r="63" spans="1:20" x14ac:dyDescent="0.3">
      <c r="A63">
        <v>619</v>
      </c>
      <c r="B63" t="s">
        <v>1037</v>
      </c>
      <c r="C63" t="s">
        <v>86</v>
      </c>
      <c r="D63">
        <v>2010</v>
      </c>
      <c r="E63" s="1">
        <v>40217</v>
      </c>
      <c r="F63" t="s">
        <v>23</v>
      </c>
      <c r="G63" s="2">
        <v>43388397.159999996</v>
      </c>
      <c r="H63" s="2">
        <v>51923346.439999998</v>
      </c>
      <c r="I63" s="2">
        <v>87968312.670000002</v>
      </c>
      <c r="J63" s="2">
        <v>9092886.7799999993</v>
      </c>
      <c r="K63" s="2">
        <v>28257891.670000002</v>
      </c>
      <c r="L63">
        <v>9.4</v>
      </c>
      <c r="M63">
        <v>93</v>
      </c>
      <c r="N63">
        <v>22746</v>
      </c>
      <c r="O63">
        <v>95</v>
      </c>
      <c r="P63" t="s">
        <v>64</v>
      </c>
      <c r="Q63" t="s">
        <v>134</v>
      </c>
      <c r="R63" s="2">
        <f>Table1[[#This Row],[Global_BoxOfficeUSD]]-Table1[[#This Row],[BudgetUSD]]</f>
        <v>44579915.510000005</v>
      </c>
      <c r="S63" s="15">
        <f>Table1[[#This Row],[Profit]]/Table1[[#This Row],[BudgetUSD]]</f>
        <v>1.0274616816474262</v>
      </c>
      <c r="T63" t="str">
        <f>IF(Table1[[#This Row],[ROI]]&gt;100%,"Hit","Flop")</f>
        <v>Hit</v>
      </c>
    </row>
    <row r="64" spans="1:20" x14ac:dyDescent="0.3">
      <c r="A64">
        <v>202</v>
      </c>
      <c r="B64" t="s">
        <v>493</v>
      </c>
      <c r="C64" t="s">
        <v>18</v>
      </c>
      <c r="D64">
        <v>2007</v>
      </c>
      <c r="E64" s="1">
        <v>39359</v>
      </c>
      <c r="F64" t="s">
        <v>23</v>
      </c>
      <c r="G64" s="2">
        <v>33325308.239999998</v>
      </c>
      <c r="H64" s="2">
        <v>59403507.210000001</v>
      </c>
      <c r="I64" s="2">
        <v>87380255.310000002</v>
      </c>
      <c r="J64" s="2">
        <v>13334675.939999999</v>
      </c>
      <c r="K64" s="2">
        <v>30322340.48</v>
      </c>
      <c r="L64">
        <v>5.3</v>
      </c>
      <c r="M64">
        <v>60</v>
      </c>
      <c r="N64">
        <v>2090</v>
      </c>
      <c r="O64">
        <v>6482</v>
      </c>
      <c r="P64" t="s">
        <v>494</v>
      </c>
      <c r="Q64" t="s">
        <v>495</v>
      </c>
      <c r="R64" s="2">
        <f>Table1[[#This Row],[Global_BoxOfficeUSD]]-Table1[[#This Row],[BudgetUSD]]</f>
        <v>54054947.070000008</v>
      </c>
      <c r="S64" s="15">
        <f>Table1[[#This Row],[Profit]]/Table1[[#This Row],[BudgetUSD]]</f>
        <v>1.6220389225123042</v>
      </c>
      <c r="T64" t="str">
        <f>IF(Table1[[#This Row],[ROI]]&gt;100%,"Hit","Flop")</f>
        <v>Hit</v>
      </c>
    </row>
    <row r="65" spans="1:20" x14ac:dyDescent="0.3">
      <c r="A65">
        <v>462</v>
      </c>
      <c r="B65" t="s">
        <v>854</v>
      </c>
      <c r="C65" t="s">
        <v>45</v>
      </c>
      <c r="D65">
        <v>1953</v>
      </c>
      <c r="E65" s="1">
        <v>19563</v>
      </c>
      <c r="F65" t="s">
        <v>23</v>
      </c>
      <c r="G65" s="2">
        <v>34583220.329999998</v>
      </c>
      <c r="H65" s="2">
        <v>50099182.979999997</v>
      </c>
      <c r="I65" s="2">
        <v>85704371.670000002</v>
      </c>
      <c r="J65" s="2">
        <v>8418333.6099999994</v>
      </c>
      <c r="K65" s="2">
        <v>22341172.09</v>
      </c>
      <c r="L65">
        <v>6.8</v>
      </c>
      <c r="M65">
        <v>89</v>
      </c>
      <c r="N65">
        <v>4258</v>
      </c>
      <c r="O65">
        <v>8414</v>
      </c>
      <c r="P65" t="s">
        <v>271</v>
      </c>
      <c r="Q65" t="s">
        <v>855</v>
      </c>
      <c r="R65" s="2">
        <f>Table1[[#This Row],[Global_BoxOfficeUSD]]-Table1[[#This Row],[BudgetUSD]]</f>
        <v>51121151.340000004</v>
      </c>
      <c r="S65" s="15">
        <f>Table1[[#This Row],[Profit]]/Table1[[#This Row],[BudgetUSD]]</f>
        <v>1.4782067965964929</v>
      </c>
      <c r="T65" t="str">
        <f>IF(Table1[[#This Row],[ROI]]&gt;100%,"Hit","Flop")</f>
        <v>Hit</v>
      </c>
    </row>
    <row r="66" spans="1:20" x14ac:dyDescent="0.3">
      <c r="A66">
        <v>612</v>
      </c>
      <c r="B66" t="s">
        <v>1031</v>
      </c>
      <c r="C66" t="s">
        <v>18</v>
      </c>
      <c r="D66">
        <v>2016</v>
      </c>
      <c r="E66" s="1">
        <v>42525</v>
      </c>
      <c r="F66" t="s">
        <v>23</v>
      </c>
      <c r="G66" s="2">
        <v>31442411.890000001</v>
      </c>
      <c r="H66" s="2">
        <v>40817830.68</v>
      </c>
      <c r="I66" s="2">
        <v>84735099.900000006</v>
      </c>
      <c r="J66" s="2">
        <v>7297562.2999999998</v>
      </c>
      <c r="K66" s="2">
        <v>17049712.329999998</v>
      </c>
      <c r="L66">
        <v>7.8</v>
      </c>
      <c r="M66">
        <v>81</v>
      </c>
      <c r="N66">
        <v>11700</v>
      </c>
      <c r="O66">
        <v>50</v>
      </c>
      <c r="P66" t="s">
        <v>68</v>
      </c>
      <c r="Q66" t="s">
        <v>1007</v>
      </c>
      <c r="R66" s="2">
        <f>Table1[[#This Row],[Global_BoxOfficeUSD]]-Table1[[#This Row],[BudgetUSD]]</f>
        <v>53292688.010000005</v>
      </c>
      <c r="S66" s="15">
        <f>Table1[[#This Row],[Profit]]/Table1[[#This Row],[BudgetUSD]]</f>
        <v>1.6949300262474236</v>
      </c>
      <c r="T66" t="str">
        <f>IF(Table1[[#This Row],[ROI]]&gt;100%,"Hit","Flop")</f>
        <v>Hit</v>
      </c>
    </row>
    <row r="67" spans="1:20" x14ac:dyDescent="0.3">
      <c r="A67">
        <v>683</v>
      </c>
      <c r="B67" t="s">
        <v>1103</v>
      </c>
      <c r="C67" t="s">
        <v>45</v>
      </c>
      <c r="D67">
        <v>2023</v>
      </c>
      <c r="E67" s="1">
        <v>44956</v>
      </c>
      <c r="F67" t="s">
        <v>23</v>
      </c>
      <c r="G67" s="2">
        <v>35836910.560000002</v>
      </c>
      <c r="H67" s="2">
        <v>44903754.479999997</v>
      </c>
      <c r="I67" s="2">
        <v>83905640.420000002</v>
      </c>
      <c r="J67" s="2">
        <v>4958703.07</v>
      </c>
      <c r="K67" s="2">
        <v>23636017.539999999</v>
      </c>
      <c r="L67">
        <v>5.0999999999999996</v>
      </c>
      <c r="M67">
        <v>25</v>
      </c>
      <c r="N67">
        <v>8212</v>
      </c>
      <c r="O67">
        <v>50</v>
      </c>
      <c r="P67" t="s">
        <v>68</v>
      </c>
      <c r="Q67" t="s">
        <v>476</v>
      </c>
      <c r="R67" s="2">
        <f>Table1[[#This Row],[Global_BoxOfficeUSD]]-Table1[[#This Row],[BudgetUSD]]</f>
        <v>48068729.859999999</v>
      </c>
      <c r="S67" s="15">
        <f>Table1[[#This Row],[Profit]]/Table1[[#This Row],[BudgetUSD]]</f>
        <v>1.3413190230089966</v>
      </c>
      <c r="T67" t="str">
        <f>IF(Table1[[#This Row],[ROI]]&gt;100%,"Hit","Flop")</f>
        <v>Hit</v>
      </c>
    </row>
    <row r="68" spans="1:20" x14ac:dyDescent="0.3">
      <c r="A68">
        <v>914</v>
      </c>
      <c r="B68" t="s">
        <v>1324</v>
      </c>
      <c r="C68" t="s">
        <v>86</v>
      </c>
      <c r="D68">
        <v>2015</v>
      </c>
      <c r="E68" s="1">
        <v>42160</v>
      </c>
      <c r="F68" t="s">
        <v>23</v>
      </c>
      <c r="G68" s="2">
        <v>18043403.190000001</v>
      </c>
      <c r="H68" s="2">
        <v>55617622.579999998</v>
      </c>
      <c r="I68" s="2">
        <v>82842022.239999995</v>
      </c>
      <c r="J68" s="2">
        <v>5711160.5300000003</v>
      </c>
      <c r="K68" s="2">
        <v>24321914.16</v>
      </c>
      <c r="L68">
        <v>5.9</v>
      </c>
      <c r="M68">
        <v>51</v>
      </c>
      <c r="N68">
        <v>3354</v>
      </c>
      <c r="O68">
        <v>219</v>
      </c>
      <c r="P68" t="s">
        <v>649</v>
      </c>
      <c r="Q68" t="s">
        <v>640</v>
      </c>
      <c r="R68" s="2">
        <f>Table1[[#This Row],[Global_BoxOfficeUSD]]-Table1[[#This Row],[BudgetUSD]]</f>
        <v>64798619.049999997</v>
      </c>
      <c r="S68" s="15">
        <f>Table1[[#This Row],[Profit]]/Table1[[#This Row],[BudgetUSD]]</f>
        <v>3.5912637082738708</v>
      </c>
      <c r="T68" t="str">
        <f>IF(Table1[[#This Row],[ROI]]&gt;100%,"Hit","Flop")</f>
        <v>Hit</v>
      </c>
    </row>
    <row r="69" spans="1:20" x14ac:dyDescent="0.3">
      <c r="A69">
        <v>955</v>
      </c>
      <c r="B69" t="s">
        <v>1364</v>
      </c>
      <c r="C69" t="s">
        <v>18</v>
      </c>
      <c r="D69">
        <v>1990</v>
      </c>
      <c r="E69" s="1">
        <v>33180</v>
      </c>
      <c r="F69" t="s">
        <v>249</v>
      </c>
      <c r="G69" s="2">
        <v>45643133.100000001</v>
      </c>
      <c r="H69" s="2">
        <v>53469994.32</v>
      </c>
      <c r="I69" s="2">
        <v>82483955.730000004</v>
      </c>
      <c r="J69" s="2">
        <v>14977159.279999999</v>
      </c>
      <c r="K69" s="2">
        <v>22200084.870000001</v>
      </c>
      <c r="L69">
        <v>6.9</v>
      </c>
      <c r="M69">
        <v>51</v>
      </c>
      <c r="N69">
        <v>786</v>
      </c>
      <c r="O69">
        <v>2100</v>
      </c>
      <c r="P69" t="s">
        <v>126</v>
      </c>
      <c r="Q69" t="s">
        <v>134</v>
      </c>
      <c r="R69" s="2">
        <f>Table1[[#This Row],[Global_BoxOfficeUSD]]-Table1[[#This Row],[BudgetUSD]]</f>
        <v>36840822.630000003</v>
      </c>
      <c r="S69" s="15">
        <f>Table1[[#This Row],[Profit]]/Table1[[#This Row],[BudgetUSD]]</f>
        <v>0.80714929339502339</v>
      </c>
      <c r="T69" t="str">
        <f>IF(Table1[[#This Row],[ROI]]&gt;100%,"Hit","Flop")</f>
        <v>Flop</v>
      </c>
    </row>
    <row r="70" spans="1:20" x14ac:dyDescent="0.3">
      <c r="A70">
        <v>888</v>
      </c>
      <c r="B70" t="s">
        <v>1303</v>
      </c>
      <c r="C70" t="s">
        <v>77</v>
      </c>
      <c r="D70">
        <v>2008</v>
      </c>
      <c r="E70" s="1">
        <v>39725</v>
      </c>
      <c r="F70" t="s">
        <v>23</v>
      </c>
      <c r="G70" s="2">
        <v>24849327.670000002</v>
      </c>
      <c r="H70" s="2">
        <v>36204692.640000001</v>
      </c>
      <c r="I70" s="2">
        <v>82448937.950000003</v>
      </c>
      <c r="J70" s="2">
        <v>10074016.119999999</v>
      </c>
      <c r="K70" s="2">
        <v>20493632.52</v>
      </c>
      <c r="L70">
        <v>4.9000000000000004</v>
      </c>
      <c r="M70">
        <v>43</v>
      </c>
      <c r="N70">
        <v>833</v>
      </c>
      <c r="O70">
        <v>568</v>
      </c>
      <c r="P70" t="s">
        <v>90</v>
      </c>
      <c r="Q70" t="s">
        <v>747</v>
      </c>
      <c r="R70" s="2">
        <f>Table1[[#This Row],[Global_BoxOfficeUSD]]-Table1[[#This Row],[BudgetUSD]]</f>
        <v>57599610.280000001</v>
      </c>
      <c r="S70" s="15">
        <f>Table1[[#This Row],[Profit]]/Table1[[#This Row],[BudgetUSD]]</f>
        <v>2.3179544752648833</v>
      </c>
      <c r="T70" t="str">
        <f>IF(Table1[[#This Row],[ROI]]&gt;100%,"Hit","Flop")</f>
        <v>Hit</v>
      </c>
    </row>
    <row r="71" spans="1:20" x14ac:dyDescent="0.3">
      <c r="A71">
        <v>136</v>
      </c>
      <c r="B71" t="s">
        <v>363</v>
      </c>
      <c r="C71" t="s">
        <v>107</v>
      </c>
      <c r="D71">
        <v>1992</v>
      </c>
      <c r="E71" s="1">
        <v>33911</v>
      </c>
      <c r="F71" t="s">
        <v>23</v>
      </c>
      <c r="G71" s="2">
        <v>52805581.549999997</v>
      </c>
      <c r="H71" s="2">
        <v>47627412.530000001</v>
      </c>
      <c r="I71" s="2">
        <v>81788329.859999999</v>
      </c>
      <c r="J71" s="2">
        <v>13214750.83</v>
      </c>
      <c r="K71" s="2">
        <v>25274262.52</v>
      </c>
      <c r="L71">
        <v>6</v>
      </c>
      <c r="M71">
        <v>63</v>
      </c>
      <c r="N71">
        <v>12626</v>
      </c>
      <c r="O71">
        <v>565</v>
      </c>
      <c r="P71" t="s">
        <v>271</v>
      </c>
      <c r="Q71" t="s">
        <v>364</v>
      </c>
      <c r="R71" s="2">
        <f>Table1[[#This Row],[Global_BoxOfficeUSD]]-Table1[[#This Row],[BudgetUSD]]</f>
        <v>28982748.310000002</v>
      </c>
      <c r="S71" s="15">
        <f>Table1[[#This Row],[Profit]]/Table1[[#This Row],[BudgetUSD]]</f>
        <v>0.54885766730089169</v>
      </c>
      <c r="T71" t="str">
        <f>IF(Table1[[#This Row],[ROI]]&gt;100%,"Hit","Flop")</f>
        <v>Flop</v>
      </c>
    </row>
    <row r="72" spans="1:20" x14ac:dyDescent="0.3">
      <c r="A72">
        <v>887</v>
      </c>
      <c r="B72" t="s">
        <v>1302</v>
      </c>
      <c r="C72" t="s">
        <v>38</v>
      </c>
      <c r="D72">
        <v>2001</v>
      </c>
      <c r="E72" s="1">
        <v>37042</v>
      </c>
      <c r="F72" t="s">
        <v>23</v>
      </c>
      <c r="G72" s="2">
        <v>25482007.850000001</v>
      </c>
      <c r="H72" s="2">
        <v>37052516.369999997</v>
      </c>
      <c r="I72" s="2">
        <v>81246941.829999998</v>
      </c>
      <c r="J72" s="2">
        <v>6356866.8300000001</v>
      </c>
      <c r="K72" s="2">
        <v>17632831.530000001</v>
      </c>
      <c r="L72">
        <v>8</v>
      </c>
      <c r="M72">
        <v>78</v>
      </c>
      <c r="N72">
        <v>664</v>
      </c>
      <c r="O72">
        <v>689</v>
      </c>
      <c r="P72" t="s">
        <v>385</v>
      </c>
      <c r="Q72" t="s">
        <v>188</v>
      </c>
      <c r="R72" s="2">
        <f>Table1[[#This Row],[Global_BoxOfficeUSD]]-Table1[[#This Row],[BudgetUSD]]</f>
        <v>55764933.979999997</v>
      </c>
      <c r="S72" s="15">
        <f>Table1[[#This Row],[Profit]]/Table1[[#This Row],[BudgetUSD]]</f>
        <v>2.1884042383261408</v>
      </c>
      <c r="T72" t="str">
        <f>IF(Table1[[#This Row],[ROI]]&gt;100%,"Hit","Flop")</f>
        <v>Hit</v>
      </c>
    </row>
    <row r="73" spans="1:20" x14ac:dyDescent="0.3">
      <c r="A73">
        <v>702</v>
      </c>
      <c r="B73" t="s">
        <v>1121</v>
      </c>
      <c r="C73" t="s">
        <v>67</v>
      </c>
      <c r="D73">
        <v>1956</v>
      </c>
      <c r="E73" s="1">
        <v>20526</v>
      </c>
      <c r="F73" t="s">
        <v>23</v>
      </c>
      <c r="G73" s="2">
        <v>21698890.48</v>
      </c>
      <c r="H73" s="2">
        <v>54130594.829999998</v>
      </c>
      <c r="I73" s="2">
        <v>80838631.489999995</v>
      </c>
      <c r="J73" s="2">
        <v>12491628.970000001</v>
      </c>
      <c r="K73" s="2">
        <v>29888713.239999998</v>
      </c>
      <c r="L73">
        <v>8.9</v>
      </c>
      <c r="M73">
        <v>100</v>
      </c>
      <c r="N73">
        <v>1213</v>
      </c>
      <c r="O73">
        <v>582</v>
      </c>
      <c r="P73" t="s">
        <v>604</v>
      </c>
      <c r="Q73" t="s">
        <v>406</v>
      </c>
      <c r="R73" s="2">
        <f>Table1[[#This Row],[Global_BoxOfficeUSD]]-Table1[[#This Row],[BudgetUSD]]</f>
        <v>59139741.00999999</v>
      </c>
      <c r="S73" s="15">
        <f>Table1[[#This Row],[Profit]]/Table1[[#This Row],[BudgetUSD]]</f>
        <v>2.7254730404077319</v>
      </c>
      <c r="T73" t="str">
        <f>IF(Table1[[#This Row],[ROI]]&gt;100%,"Hit","Flop")</f>
        <v>Hit</v>
      </c>
    </row>
    <row r="74" spans="1:20" x14ac:dyDescent="0.3">
      <c r="A74">
        <v>563</v>
      </c>
      <c r="B74" t="s">
        <v>975</v>
      </c>
      <c r="C74" t="s">
        <v>45</v>
      </c>
      <c r="D74">
        <v>2001</v>
      </c>
      <c r="E74" s="1">
        <v>37080</v>
      </c>
      <c r="F74" t="s">
        <v>152</v>
      </c>
      <c r="G74" s="2">
        <v>30165385.760000002</v>
      </c>
      <c r="H74" s="2">
        <v>41665471.840000004</v>
      </c>
      <c r="I74" s="2">
        <v>80587106.459999993</v>
      </c>
      <c r="J74" s="2">
        <v>12496482.35</v>
      </c>
      <c r="K74" s="2">
        <v>22387207.77</v>
      </c>
      <c r="L74">
        <v>3.7</v>
      </c>
      <c r="M74">
        <v>44</v>
      </c>
      <c r="N74">
        <v>1830</v>
      </c>
      <c r="O74">
        <v>4462</v>
      </c>
      <c r="P74" t="s">
        <v>64</v>
      </c>
      <c r="Q74" t="s">
        <v>486</v>
      </c>
      <c r="R74" s="2">
        <f>Table1[[#This Row],[Global_BoxOfficeUSD]]-Table1[[#This Row],[BudgetUSD]]</f>
        <v>50421720.699999988</v>
      </c>
      <c r="S74" s="15">
        <f>Table1[[#This Row],[Profit]]/Table1[[#This Row],[BudgetUSD]]</f>
        <v>1.6715092291927642</v>
      </c>
      <c r="T74" t="str">
        <f>IF(Table1[[#This Row],[ROI]]&gt;100%,"Hit","Flop")</f>
        <v>Hit</v>
      </c>
    </row>
    <row r="75" spans="1:20" x14ac:dyDescent="0.3">
      <c r="A75">
        <v>742</v>
      </c>
      <c r="B75" t="s">
        <v>1160</v>
      </c>
      <c r="C75" t="s">
        <v>38</v>
      </c>
      <c r="D75">
        <v>1995</v>
      </c>
      <c r="E75" s="1">
        <v>34771</v>
      </c>
      <c r="F75" t="s">
        <v>23</v>
      </c>
      <c r="G75" s="2">
        <v>16476322.390000001</v>
      </c>
      <c r="H75" s="2">
        <v>51997926.210000001</v>
      </c>
      <c r="I75" s="2">
        <v>79703601.140000001</v>
      </c>
      <c r="J75" s="2">
        <v>12105544.289999999</v>
      </c>
      <c r="K75" s="2">
        <v>26941576.68</v>
      </c>
      <c r="L75">
        <v>6.2</v>
      </c>
      <c r="M75">
        <v>60</v>
      </c>
      <c r="N75">
        <v>9709</v>
      </c>
      <c r="O75">
        <v>593</v>
      </c>
      <c r="P75" t="s">
        <v>24</v>
      </c>
      <c r="Q75" t="s">
        <v>43</v>
      </c>
      <c r="R75" s="2">
        <f>Table1[[#This Row],[Global_BoxOfficeUSD]]-Table1[[#This Row],[BudgetUSD]]</f>
        <v>63227278.75</v>
      </c>
      <c r="S75" s="15">
        <f>Table1[[#This Row],[Profit]]/Table1[[#This Row],[BudgetUSD]]</f>
        <v>3.8374630729715893</v>
      </c>
      <c r="T75" t="str">
        <f>IF(Table1[[#This Row],[ROI]]&gt;100%,"Hit","Flop")</f>
        <v>Hit</v>
      </c>
    </row>
    <row r="76" spans="1:20" x14ac:dyDescent="0.3">
      <c r="A76">
        <v>925</v>
      </c>
      <c r="B76" t="s">
        <v>1333</v>
      </c>
      <c r="C76" t="s">
        <v>38</v>
      </c>
      <c r="D76">
        <v>2018</v>
      </c>
      <c r="E76" s="1">
        <v>43284</v>
      </c>
      <c r="F76" t="s">
        <v>23</v>
      </c>
      <c r="G76" s="2">
        <v>24788223.73</v>
      </c>
      <c r="H76" s="2">
        <v>32935769.829999998</v>
      </c>
      <c r="I76" s="2">
        <v>78632611.030000001</v>
      </c>
      <c r="J76" s="2">
        <v>7181768.29</v>
      </c>
      <c r="K76" s="2">
        <v>17511047.780000001</v>
      </c>
      <c r="L76">
        <v>6.8</v>
      </c>
      <c r="M76">
        <v>64</v>
      </c>
      <c r="N76">
        <v>7049</v>
      </c>
      <c r="O76">
        <v>246</v>
      </c>
      <c r="P76" t="s">
        <v>500</v>
      </c>
      <c r="Q76" t="s">
        <v>412</v>
      </c>
      <c r="R76" s="2">
        <f>Table1[[#This Row],[Global_BoxOfficeUSD]]-Table1[[#This Row],[BudgetUSD]]</f>
        <v>53844387.299999997</v>
      </c>
      <c r="S76" s="15">
        <f>Table1[[#This Row],[Profit]]/Table1[[#This Row],[BudgetUSD]]</f>
        <v>2.1721761061416722</v>
      </c>
      <c r="T76" t="str">
        <f>IF(Table1[[#This Row],[ROI]]&gt;100%,"Hit","Flop")</f>
        <v>Hit</v>
      </c>
    </row>
    <row r="77" spans="1:20" x14ac:dyDescent="0.3">
      <c r="A77">
        <v>861</v>
      </c>
      <c r="B77" t="s">
        <v>1278</v>
      </c>
      <c r="C77" t="s">
        <v>38</v>
      </c>
      <c r="D77">
        <v>2005</v>
      </c>
      <c r="E77" s="1">
        <v>38600</v>
      </c>
      <c r="F77" t="s">
        <v>19</v>
      </c>
      <c r="G77" s="2">
        <v>21728195.370000001</v>
      </c>
      <c r="H77" s="2">
        <v>42924092.149999999</v>
      </c>
      <c r="I77" s="2">
        <v>75084607.790000007</v>
      </c>
      <c r="J77" s="2">
        <v>9699936.0899999999</v>
      </c>
      <c r="K77" s="2">
        <v>18151060.210000001</v>
      </c>
      <c r="L77">
        <v>6.5</v>
      </c>
      <c r="M77">
        <v>70</v>
      </c>
      <c r="N77">
        <v>12291</v>
      </c>
      <c r="O77">
        <v>2055</v>
      </c>
      <c r="P77" t="s">
        <v>52</v>
      </c>
      <c r="Q77" t="s">
        <v>758</v>
      </c>
      <c r="R77" s="2">
        <f>Table1[[#This Row],[Global_BoxOfficeUSD]]-Table1[[#This Row],[BudgetUSD]]</f>
        <v>53356412.420000002</v>
      </c>
      <c r="S77" s="15">
        <f>Table1[[#This Row],[Profit]]/Table1[[#This Row],[BudgetUSD]]</f>
        <v>2.455630185177224</v>
      </c>
      <c r="T77" t="str">
        <f>IF(Table1[[#This Row],[ROI]]&gt;100%,"Hit","Flop")</f>
        <v>Hit</v>
      </c>
    </row>
    <row r="78" spans="1:20" x14ac:dyDescent="0.3">
      <c r="A78">
        <v>568</v>
      </c>
      <c r="B78" t="s">
        <v>980</v>
      </c>
      <c r="C78" t="s">
        <v>107</v>
      </c>
      <c r="D78">
        <v>1973</v>
      </c>
      <c r="E78" s="1">
        <v>26825</v>
      </c>
      <c r="F78" t="s">
        <v>23</v>
      </c>
      <c r="G78" s="2">
        <v>74624612.840000004</v>
      </c>
      <c r="H78" s="2">
        <v>38953930</v>
      </c>
      <c r="I78" s="2">
        <v>74978594.489999995</v>
      </c>
      <c r="J78" s="2">
        <v>4496723.78</v>
      </c>
      <c r="K78" s="2">
        <v>20129559.629999999</v>
      </c>
      <c r="L78">
        <v>4.5999999999999996</v>
      </c>
      <c r="M78">
        <v>35</v>
      </c>
      <c r="N78">
        <v>9428</v>
      </c>
      <c r="O78">
        <v>963</v>
      </c>
      <c r="P78" t="s">
        <v>344</v>
      </c>
      <c r="Q78" t="s">
        <v>455</v>
      </c>
      <c r="R78" s="2">
        <f>Table1[[#This Row],[Global_BoxOfficeUSD]]-Table1[[#This Row],[BudgetUSD]]</f>
        <v>353981.64999999106</v>
      </c>
      <c r="S78" s="15">
        <f>Table1[[#This Row],[Profit]]/Table1[[#This Row],[BudgetUSD]]</f>
        <v>4.7434973064309303E-3</v>
      </c>
      <c r="T78" t="str">
        <f>IF(Table1[[#This Row],[ROI]]&gt;100%,"Hit","Flop")</f>
        <v>Flop</v>
      </c>
    </row>
    <row r="79" spans="1:20" x14ac:dyDescent="0.3">
      <c r="A79">
        <v>724</v>
      </c>
      <c r="B79" t="s">
        <v>1142</v>
      </c>
      <c r="C79" t="s">
        <v>67</v>
      </c>
      <c r="D79">
        <v>2013</v>
      </c>
      <c r="E79" s="1">
        <v>41379</v>
      </c>
      <c r="F79" t="s">
        <v>23</v>
      </c>
      <c r="G79" s="2">
        <v>20134544.420000002</v>
      </c>
      <c r="H79" s="2">
        <v>40983611.829999998</v>
      </c>
      <c r="I79" s="2">
        <v>74025322.489999995</v>
      </c>
      <c r="J79" s="2">
        <v>9383132.9199999999</v>
      </c>
      <c r="K79" s="2">
        <v>21923035.57</v>
      </c>
      <c r="L79">
        <v>7.5</v>
      </c>
      <c r="M79">
        <v>86</v>
      </c>
      <c r="N79">
        <v>5469</v>
      </c>
      <c r="O79">
        <v>244</v>
      </c>
      <c r="P79" t="s">
        <v>319</v>
      </c>
      <c r="Q79" t="s">
        <v>696</v>
      </c>
      <c r="R79" s="2">
        <f>Table1[[#This Row],[Global_BoxOfficeUSD]]-Table1[[#This Row],[BudgetUSD]]</f>
        <v>53890778.069999993</v>
      </c>
      <c r="S79" s="15">
        <f>Table1[[#This Row],[Profit]]/Table1[[#This Row],[BudgetUSD]]</f>
        <v>2.6765332726609561</v>
      </c>
      <c r="T79" t="str">
        <f>IF(Table1[[#This Row],[ROI]]&gt;100%,"Hit","Flop")</f>
        <v>Hit</v>
      </c>
    </row>
    <row r="80" spans="1:20" x14ac:dyDescent="0.3">
      <c r="A80">
        <v>988</v>
      </c>
      <c r="B80" t="s">
        <v>1398</v>
      </c>
      <c r="C80" t="s">
        <v>67</v>
      </c>
      <c r="D80">
        <v>2025</v>
      </c>
      <c r="E80" s="1">
        <v>45873</v>
      </c>
      <c r="F80" t="s">
        <v>34</v>
      </c>
      <c r="G80" s="2">
        <v>24135907.940000001</v>
      </c>
      <c r="H80" s="2">
        <v>36521423.119999997</v>
      </c>
      <c r="I80" s="2">
        <v>72932697.810000002</v>
      </c>
      <c r="J80" s="2">
        <v>10000711.43</v>
      </c>
      <c r="K80" s="2">
        <v>19986571.52</v>
      </c>
      <c r="L80">
        <v>6.1</v>
      </c>
      <c r="M80">
        <v>64</v>
      </c>
      <c r="N80">
        <v>12477</v>
      </c>
      <c r="O80">
        <v>270</v>
      </c>
      <c r="P80" t="s">
        <v>396</v>
      </c>
      <c r="Q80" t="s">
        <v>640</v>
      </c>
      <c r="R80" s="2">
        <f>Table1[[#This Row],[Global_BoxOfficeUSD]]-Table1[[#This Row],[BudgetUSD]]</f>
        <v>48796789.870000005</v>
      </c>
      <c r="S80" s="15">
        <f>Table1[[#This Row],[Profit]]/Table1[[#This Row],[BudgetUSD]]</f>
        <v>2.0217507454579726</v>
      </c>
      <c r="T80" t="str">
        <f>IF(Table1[[#This Row],[ROI]]&gt;100%,"Hit","Flop")</f>
        <v>Hit</v>
      </c>
    </row>
    <row r="81" spans="1:20" x14ac:dyDescent="0.3">
      <c r="A81">
        <v>603</v>
      </c>
      <c r="B81" t="s">
        <v>1022</v>
      </c>
      <c r="C81" t="s">
        <v>18</v>
      </c>
      <c r="D81">
        <v>2022</v>
      </c>
      <c r="E81" s="1">
        <v>44894</v>
      </c>
      <c r="F81" t="s">
        <v>23</v>
      </c>
      <c r="G81" s="2">
        <v>19387082.300000001</v>
      </c>
      <c r="H81" s="2">
        <v>32819180.260000002</v>
      </c>
      <c r="I81" s="2">
        <v>71983899.120000005</v>
      </c>
      <c r="J81" s="2">
        <v>3779466.45</v>
      </c>
      <c r="K81" s="2">
        <v>19449989.190000001</v>
      </c>
      <c r="L81">
        <v>5.7</v>
      </c>
      <c r="M81">
        <v>63</v>
      </c>
      <c r="N81">
        <v>7116</v>
      </c>
      <c r="O81">
        <v>4269</v>
      </c>
      <c r="P81" t="s">
        <v>27</v>
      </c>
      <c r="Q81" t="s">
        <v>324</v>
      </c>
      <c r="R81" s="2">
        <f>Table1[[#This Row],[Global_BoxOfficeUSD]]-Table1[[#This Row],[BudgetUSD]]</f>
        <v>52596816.820000008</v>
      </c>
      <c r="S81" s="15">
        <f>Table1[[#This Row],[Profit]]/Table1[[#This Row],[BudgetUSD]]</f>
        <v>2.7129825935695338</v>
      </c>
      <c r="T81" t="str">
        <f>IF(Table1[[#This Row],[ROI]]&gt;100%,"Hit","Flop")</f>
        <v>Hit</v>
      </c>
    </row>
    <row r="82" spans="1:20" x14ac:dyDescent="0.3">
      <c r="A82">
        <v>687</v>
      </c>
      <c r="B82" t="s">
        <v>1106</v>
      </c>
      <c r="C82" t="s">
        <v>38</v>
      </c>
      <c r="D82">
        <v>1991</v>
      </c>
      <c r="E82" s="1">
        <v>33529</v>
      </c>
      <c r="F82" t="s">
        <v>23</v>
      </c>
      <c r="G82" s="2">
        <v>22811046.93</v>
      </c>
      <c r="H82" s="2">
        <v>48639687.130000003</v>
      </c>
      <c r="I82" s="2">
        <v>71711102.239999995</v>
      </c>
      <c r="J82" s="2">
        <v>8842125.5700000003</v>
      </c>
      <c r="K82" s="2">
        <v>23902632.420000002</v>
      </c>
      <c r="L82">
        <v>5.0999999999999996</v>
      </c>
      <c r="M82">
        <v>40</v>
      </c>
      <c r="N82">
        <v>922</v>
      </c>
      <c r="O82">
        <v>50</v>
      </c>
      <c r="P82" t="s">
        <v>287</v>
      </c>
      <c r="Q82" t="s">
        <v>381</v>
      </c>
      <c r="R82" s="2">
        <f>Table1[[#This Row],[Global_BoxOfficeUSD]]-Table1[[#This Row],[BudgetUSD]]</f>
        <v>48900055.309999995</v>
      </c>
      <c r="S82" s="15">
        <f>Table1[[#This Row],[Profit]]/Table1[[#This Row],[BudgetUSD]]</f>
        <v>2.1437006140077233</v>
      </c>
      <c r="T82" t="str">
        <f>IF(Table1[[#This Row],[ROI]]&gt;100%,"Hit","Flop")</f>
        <v>Hit</v>
      </c>
    </row>
    <row r="83" spans="1:20" x14ac:dyDescent="0.3">
      <c r="A83">
        <v>766</v>
      </c>
      <c r="B83" t="s">
        <v>1188</v>
      </c>
      <c r="C83" t="s">
        <v>33</v>
      </c>
      <c r="D83">
        <v>1984</v>
      </c>
      <c r="E83" s="1">
        <v>31024</v>
      </c>
      <c r="F83" t="s">
        <v>23</v>
      </c>
      <c r="G83" s="2">
        <v>34255610.229999997</v>
      </c>
      <c r="H83" s="2">
        <v>33876231.409999996</v>
      </c>
      <c r="I83" s="2">
        <v>70494638.180000007</v>
      </c>
      <c r="J83" s="2">
        <v>5909633.7599999998</v>
      </c>
      <c r="K83" s="2">
        <v>15525173.42</v>
      </c>
      <c r="L83">
        <v>6</v>
      </c>
      <c r="M83">
        <v>58</v>
      </c>
      <c r="N83">
        <v>906</v>
      </c>
      <c r="O83">
        <v>1946</v>
      </c>
      <c r="P83" t="s">
        <v>58</v>
      </c>
      <c r="Q83" t="s">
        <v>331</v>
      </c>
      <c r="R83" s="2">
        <f>Table1[[#This Row],[Global_BoxOfficeUSD]]-Table1[[#This Row],[BudgetUSD]]</f>
        <v>36239027.95000001</v>
      </c>
      <c r="S83" s="15">
        <f>Table1[[#This Row],[Profit]]/Table1[[#This Row],[BudgetUSD]]</f>
        <v>1.0579005221825826</v>
      </c>
      <c r="T83" t="str">
        <f>IF(Table1[[#This Row],[ROI]]&gt;100%,"Hit","Flop")</f>
        <v>Hit</v>
      </c>
    </row>
    <row r="84" spans="1:20" x14ac:dyDescent="0.3">
      <c r="A84">
        <v>936</v>
      </c>
      <c r="B84" t="s">
        <v>1343</v>
      </c>
      <c r="C84" t="s">
        <v>67</v>
      </c>
      <c r="D84">
        <v>1980</v>
      </c>
      <c r="E84" s="1">
        <v>29460</v>
      </c>
      <c r="F84" t="s">
        <v>23</v>
      </c>
      <c r="G84" s="2">
        <v>30895730.800000001</v>
      </c>
      <c r="H84" s="2">
        <v>30897596.420000002</v>
      </c>
      <c r="I84" s="2">
        <v>69709615.950000003</v>
      </c>
      <c r="J84" s="2">
        <v>6611062.3799999999</v>
      </c>
      <c r="K84" s="2">
        <v>13828849.67</v>
      </c>
      <c r="L84">
        <v>5.2</v>
      </c>
      <c r="M84">
        <v>43</v>
      </c>
      <c r="N84">
        <v>979</v>
      </c>
      <c r="O84">
        <v>115</v>
      </c>
      <c r="P84" t="s">
        <v>177</v>
      </c>
      <c r="Q84" t="s">
        <v>722</v>
      </c>
      <c r="R84" s="2">
        <f>Table1[[#This Row],[Global_BoxOfficeUSD]]-Table1[[#This Row],[BudgetUSD]]</f>
        <v>38813885.150000006</v>
      </c>
      <c r="S84" s="15">
        <f>Table1[[#This Row],[Profit]]/Table1[[#This Row],[BudgetUSD]]</f>
        <v>1.2562863588259905</v>
      </c>
      <c r="T84" t="str">
        <f>IF(Table1[[#This Row],[ROI]]&gt;100%,"Hit","Flop")</f>
        <v>Hit</v>
      </c>
    </row>
    <row r="85" spans="1:20" x14ac:dyDescent="0.3">
      <c r="A85">
        <v>591</v>
      </c>
      <c r="B85" t="s">
        <v>1006</v>
      </c>
      <c r="C85" t="s">
        <v>86</v>
      </c>
      <c r="D85">
        <v>1977</v>
      </c>
      <c r="E85" s="1">
        <v>28236</v>
      </c>
      <c r="F85" t="s">
        <v>23</v>
      </c>
      <c r="G85" s="2">
        <v>19765301.260000002</v>
      </c>
      <c r="H85" s="2">
        <v>34241087.310000002</v>
      </c>
      <c r="I85" s="2">
        <v>68950818.379999995</v>
      </c>
      <c r="J85" s="2">
        <v>10016804.310000001</v>
      </c>
      <c r="K85" s="2">
        <v>20232809.23</v>
      </c>
      <c r="L85">
        <v>4.3</v>
      </c>
      <c r="M85">
        <v>39</v>
      </c>
      <c r="N85">
        <v>5697</v>
      </c>
      <c r="O85">
        <v>971</v>
      </c>
      <c r="P85" t="s">
        <v>205</v>
      </c>
      <c r="Q85" t="s">
        <v>1007</v>
      </c>
      <c r="R85" s="2">
        <f>Table1[[#This Row],[Global_BoxOfficeUSD]]-Table1[[#This Row],[BudgetUSD]]</f>
        <v>49185517.11999999</v>
      </c>
      <c r="S85" s="15">
        <f>Table1[[#This Row],[Profit]]/Table1[[#This Row],[BudgetUSD]]</f>
        <v>2.4884779884199948</v>
      </c>
      <c r="T85" t="str">
        <f>IF(Table1[[#This Row],[ROI]]&gt;100%,"Hit","Flop")</f>
        <v>Hit</v>
      </c>
    </row>
    <row r="86" spans="1:20" x14ac:dyDescent="0.3">
      <c r="A86">
        <v>16</v>
      </c>
      <c r="B86" t="s">
        <v>70</v>
      </c>
      <c r="C86" t="s">
        <v>38</v>
      </c>
      <c r="D86">
        <v>1983</v>
      </c>
      <c r="E86" s="1">
        <v>30378</v>
      </c>
      <c r="F86" t="s">
        <v>23</v>
      </c>
      <c r="G86" s="2">
        <v>25624591.73</v>
      </c>
      <c r="H86" s="2">
        <v>32569914.940000001</v>
      </c>
      <c r="I86" s="2">
        <v>67639926.849999994</v>
      </c>
      <c r="J86" s="2">
        <v>6839515.1299999999</v>
      </c>
      <c r="K86" s="2">
        <v>18766598.57</v>
      </c>
      <c r="L86">
        <v>5</v>
      </c>
      <c r="M86">
        <v>38</v>
      </c>
      <c r="N86">
        <v>2912</v>
      </c>
      <c r="O86">
        <v>53</v>
      </c>
      <c r="P86" t="s">
        <v>71</v>
      </c>
      <c r="Q86" t="s">
        <v>72</v>
      </c>
      <c r="R86" s="2">
        <f>Table1[[#This Row],[Global_BoxOfficeUSD]]-Table1[[#This Row],[BudgetUSD]]</f>
        <v>42015335.11999999</v>
      </c>
      <c r="S86" s="15">
        <f>Table1[[#This Row],[Profit]]/Table1[[#This Row],[BudgetUSD]]</f>
        <v>1.6396489576382409</v>
      </c>
      <c r="T86" t="str">
        <f>IF(Table1[[#This Row],[ROI]]&gt;100%,"Hit","Flop")</f>
        <v>Hit</v>
      </c>
    </row>
    <row r="87" spans="1:20" x14ac:dyDescent="0.3">
      <c r="A87">
        <v>534</v>
      </c>
      <c r="B87" t="s">
        <v>942</v>
      </c>
      <c r="C87" t="s">
        <v>38</v>
      </c>
      <c r="D87">
        <v>1965</v>
      </c>
      <c r="E87" s="1">
        <v>24097</v>
      </c>
      <c r="F87" t="s">
        <v>23</v>
      </c>
      <c r="G87" s="2">
        <v>14174279.199999999</v>
      </c>
      <c r="H87" s="2">
        <v>35192904.990000002</v>
      </c>
      <c r="I87" s="2">
        <v>67537690.650000006</v>
      </c>
      <c r="J87" s="2">
        <v>9528384.2699999996</v>
      </c>
      <c r="K87" s="2">
        <v>18470139.379999999</v>
      </c>
      <c r="L87">
        <v>6.8</v>
      </c>
      <c r="M87">
        <v>57</v>
      </c>
      <c r="N87">
        <v>55014</v>
      </c>
      <c r="O87">
        <v>434</v>
      </c>
      <c r="P87" t="s">
        <v>117</v>
      </c>
      <c r="Q87" t="s">
        <v>238</v>
      </c>
      <c r="R87" s="2">
        <f>Table1[[#This Row],[Global_BoxOfficeUSD]]-Table1[[#This Row],[BudgetUSD]]</f>
        <v>53363411.450000003</v>
      </c>
      <c r="S87" s="15">
        <f>Table1[[#This Row],[Profit]]/Table1[[#This Row],[BudgetUSD]]</f>
        <v>3.7648060050912506</v>
      </c>
      <c r="T87" t="str">
        <f>IF(Table1[[#This Row],[ROI]]&gt;100%,"Hit","Flop")</f>
        <v>Hit</v>
      </c>
    </row>
    <row r="88" spans="1:20" x14ac:dyDescent="0.3">
      <c r="A88">
        <v>862</v>
      </c>
      <c r="B88" t="s">
        <v>104</v>
      </c>
      <c r="C88" t="s">
        <v>18</v>
      </c>
      <c r="D88">
        <v>1989</v>
      </c>
      <c r="E88" s="1">
        <v>32798</v>
      </c>
      <c r="F88" t="s">
        <v>23</v>
      </c>
      <c r="G88" s="2">
        <v>29850674.850000001</v>
      </c>
      <c r="H88" s="2">
        <v>42178209.060000002</v>
      </c>
      <c r="I88" s="2">
        <v>67407473.209999993</v>
      </c>
      <c r="J88" s="2">
        <v>7498666.8099999996</v>
      </c>
      <c r="K88" s="2">
        <v>19388651.66</v>
      </c>
      <c r="L88">
        <v>6.4</v>
      </c>
      <c r="M88">
        <v>79</v>
      </c>
      <c r="N88">
        <v>4690</v>
      </c>
      <c r="O88">
        <v>50</v>
      </c>
      <c r="P88" t="s">
        <v>915</v>
      </c>
      <c r="Q88" t="s">
        <v>684</v>
      </c>
      <c r="R88" s="2">
        <f>Table1[[#This Row],[Global_BoxOfficeUSD]]-Table1[[#This Row],[BudgetUSD]]</f>
        <v>37556798.359999992</v>
      </c>
      <c r="S88" s="15">
        <f>Table1[[#This Row],[Profit]]/Table1[[#This Row],[BudgetUSD]]</f>
        <v>1.2581557552290978</v>
      </c>
      <c r="T88" t="str">
        <f>IF(Table1[[#This Row],[ROI]]&gt;100%,"Hit","Flop")</f>
        <v>Hit</v>
      </c>
    </row>
    <row r="89" spans="1:20" x14ac:dyDescent="0.3">
      <c r="A89">
        <v>72</v>
      </c>
      <c r="B89" t="s">
        <v>223</v>
      </c>
      <c r="C89" t="s">
        <v>107</v>
      </c>
      <c r="D89">
        <v>1990</v>
      </c>
      <c r="E89" s="1">
        <v>32982</v>
      </c>
      <c r="F89" t="s">
        <v>19</v>
      </c>
      <c r="G89" s="2">
        <v>42539968.689999998</v>
      </c>
      <c r="H89" s="2">
        <v>26539546.079999998</v>
      </c>
      <c r="I89" s="2">
        <v>65486453.259999998</v>
      </c>
      <c r="J89" s="2">
        <v>7445218.3200000003</v>
      </c>
      <c r="K89" s="2">
        <v>14495215.289999999</v>
      </c>
      <c r="L89">
        <v>4.5999999999999996</v>
      </c>
      <c r="M89">
        <v>38</v>
      </c>
      <c r="N89">
        <v>59537</v>
      </c>
      <c r="O89">
        <v>332</v>
      </c>
      <c r="P89" t="s">
        <v>224</v>
      </c>
      <c r="Q89" t="s">
        <v>225</v>
      </c>
      <c r="R89" s="2">
        <f>Table1[[#This Row],[Global_BoxOfficeUSD]]-Table1[[#This Row],[BudgetUSD]]</f>
        <v>22946484.57</v>
      </c>
      <c r="S89" s="15">
        <f>Table1[[#This Row],[Profit]]/Table1[[#This Row],[BudgetUSD]]</f>
        <v>0.53941000138521733</v>
      </c>
      <c r="T89" t="str">
        <f>IF(Table1[[#This Row],[ROI]]&gt;100%,"Hit","Flop")</f>
        <v>Flop</v>
      </c>
    </row>
    <row r="90" spans="1:20" x14ac:dyDescent="0.3">
      <c r="A90">
        <v>676</v>
      </c>
      <c r="B90" t="s">
        <v>1094</v>
      </c>
      <c r="C90" t="s">
        <v>77</v>
      </c>
      <c r="D90">
        <v>1963</v>
      </c>
      <c r="E90" s="1">
        <v>23184</v>
      </c>
      <c r="F90" t="s">
        <v>23</v>
      </c>
      <c r="G90" s="2">
        <v>18686902.710000001</v>
      </c>
      <c r="H90" s="2">
        <v>35488149.859999999</v>
      </c>
      <c r="I90" s="2">
        <v>64673051.100000001</v>
      </c>
      <c r="J90" s="2">
        <v>10473896.49</v>
      </c>
      <c r="K90" s="2">
        <v>14618891.310000001</v>
      </c>
      <c r="L90">
        <v>5.7</v>
      </c>
      <c r="M90">
        <v>67</v>
      </c>
      <c r="N90">
        <v>235</v>
      </c>
      <c r="O90">
        <v>279</v>
      </c>
      <c r="P90" t="s">
        <v>601</v>
      </c>
      <c r="Q90" t="s">
        <v>414</v>
      </c>
      <c r="R90" s="2">
        <f>Table1[[#This Row],[Global_BoxOfficeUSD]]-Table1[[#This Row],[BudgetUSD]]</f>
        <v>45986148.390000001</v>
      </c>
      <c r="S90" s="15">
        <f>Table1[[#This Row],[Profit]]/Table1[[#This Row],[BudgetUSD]]</f>
        <v>2.4608758927926155</v>
      </c>
      <c r="T90" t="str">
        <f>IF(Table1[[#This Row],[ROI]]&gt;100%,"Hit","Flop")</f>
        <v>Hit</v>
      </c>
    </row>
    <row r="91" spans="1:20" x14ac:dyDescent="0.3">
      <c r="A91">
        <v>464</v>
      </c>
      <c r="B91" t="s">
        <v>857</v>
      </c>
      <c r="C91" t="s">
        <v>38</v>
      </c>
      <c r="D91">
        <v>2007</v>
      </c>
      <c r="E91" s="1">
        <v>39339</v>
      </c>
      <c r="F91" t="s">
        <v>23</v>
      </c>
      <c r="G91" s="2">
        <v>13007765.48</v>
      </c>
      <c r="H91" s="2">
        <v>29527084.609999999</v>
      </c>
      <c r="I91" s="2">
        <v>63846215.420000002</v>
      </c>
      <c r="J91" s="2">
        <v>6000631.2400000002</v>
      </c>
      <c r="K91" s="2">
        <v>13576905.970000001</v>
      </c>
      <c r="L91">
        <v>8.1999999999999993</v>
      </c>
      <c r="M91">
        <v>76</v>
      </c>
      <c r="N91">
        <v>568</v>
      </c>
      <c r="O91">
        <v>2887</v>
      </c>
      <c r="P91" t="s">
        <v>500</v>
      </c>
      <c r="Q91" t="s">
        <v>559</v>
      </c>
      <c r="R91" s="2">
        <f>Table1[[#This Row],[Global_BoxOfficeUSD]]-Table1[[#This Row],[BudgetUSD]]</f>
        <v>50838449.939999998</v>
      </c>
      <c r="S91" s="15">
        <f>Table1[[#This Row],[Profit]]/Table1[[#This Row],[BudgetUSD]]</f>
        <v>3.9083153842346179</v>
      </c>
      <c r="T91" t="str">
        <f>IF(Table1[[#This Row],[ROI]]&gt;100%,"Hit","Flop")</f>
        <v>Hit</v>
      </c>
    </row>
    <row r="92" spans="1:20" x14ac:dyDescent="0.3">
      <c r="A92">
        <v>121</v>
      </c>
      <c r="B92" t="s">
        <v>333</v>
      </c>
      <c r="C92" t="s">
        <v>77</v>
      </c>
      <c r="D92">
        <v>2010</v>
      </c>
      <c r="E92" s="1">
        <v>40427</v>
      </c>
      <c r="F92" t="s">
        <v>152</v>
      </c>
      <c r="G92" s="2">
        <v>17427391.09</v>
      </c>
      <c r="H92" s="2">
        <v>27181656.18</v>
      </c>
      <c r="I92" s="2">
        <v>63499344.57</v>
      </c>
      <c r="J92" s="2">
        <v>7737466.7400000002</v>
      </c>
      <c r="K92" s="2">
        <v>16303642.92</v>
      </c>
      <c r="L92">
        <v>6.3</v>
      </c>
      <c r="M92">
        <v>71</v>
      </c>
      <c r="N92">
        <v>3891</v>
      </c>
      <c r="O92">
        <v>3800</v>
      </c>
      <c r="P92" t="s">
        <v>334</v>
      </c>
      <c r="Q92" t="s">
        <v>335</v>
      </c>
      <c r="R92" s="2">
        <f>Table1[[#This Row],[Global_BoxOfficeUSD]]-Table1[[#This Row],[BudgetUSD]]</f>
        <v>46071953.480000004</v>
      </c>
      <c r="S92" s="15">
        <f>Table1[[#This Row],[Profit]]/Table1[[#This Row],[BudgetUSD]]</f>
        <v>2.6436517802390127</v>
      </c>
      <c r="T92" t="str">
        <f>IF(Table1[[#This Row],[ROI]]&gt;100%,"Hit","Flop")</f>
        <v>Hit</v>
      </c>
    </row>
    <row r="93" spans="1:20" x14ac:dyDescent="0.3">
      <c r="A93">
        <v>175</v>
      </c>
      <c r="B93" t="s">
        <v>446</v>
      </c>
      <c r="C93" t="s">
        <v>38</v>
      </c>
      <c r="D93">
        <v>2005</v>
      </c>
      <c r="E93" s="1">
        <v>38445</v>
      </c>
      <c r="F93" t="s">
        <v>23</v>
      </c>
      <c r="G93" s="2">
        <v>14818240.51</v>
      </c>
      <c r="H93" s="2">
        <v>27372179.879999999</v>
      </c>
      <c r="I93" s="2">
        <v>63314893.939999998</v>
      </c>
      <c r="J93" s="2">
        <v>5614560.5899999999</v>
      </c>
      <c r="K93" s="2">
        <v>13612570.76</v>
      </c>
      <c r="L93">
        <v>3.8</v>
      </c>
      <c r="M93">
        <v>40</v>
      </c>
      <c r="N93">
        <v>4899</v>
      </c>
      <c r="O93">
        <v>1101</v>
      </c>
      <c r="P93" t="s">
        <v>27</v>
      </c>
      <c r="Q93" t="s">
        <v>447</v>
      </c>
      <c r="R93" s="2">
        <f>Table1[[#This Row],[Global_BoxOfficeUSD]]-Table1[[#This Row],[BudgetUSD]]</f>
        <v>48496653.43</v>
      </c>
      <c r="S93" s="15">
        <f>Table1[[#This Row],[Profit]]/Table1[[#This Row],[BudgetUSD]]</f>
        <v>3.2727673300532762</v>
      </c>
      <c r="T93" t="str">
        <f>IF(Table1[[#This Row],[ROI]]&gt;100%,"Hit","Flop")</f>
        <v>Hit</v>
      </c>
    </row>
    <row r="94" spans="1:20" x14ac:dyDescent="0.3">
      <c r="A94">
        <v>86</v>
      </c>
      <c r="B94" t="s">
        <v>255</v>
      </c>
      <c r="C94" t="s">
        <v>18</v>
      </c>
      <c r="D94">
        <v>2001</v>
      </c>
      <c r="E94" s="1">
        <v>37195</v>
      </c>
      <c r="F94" t="s">
        <v>23</v>
      </c>
      <c r="G94" s="2">
        <v>24738532.550000001</v>
      </c>
      <c r="H94" s="2">
        <v>41941419.880000003</v>
      </c>
      <c r="I94" s="2">
        <v>62766329.380000003</v>
      </c>
      <c r="J94" s="2">
        <v>6775529.2699999996</v>
      </c>
      <c r="K94" s="2">
        <v>19025798.829999998</v>
      </c>
      <c r="L94">
        <v>7.3</v>
      </c>
      <c r="M94">
        <v>82</v>
      </c>
      <c r="N94">
        <v>6899</v>
      </c>
      <c r="O94">
        <v>1326</v>
      </c>
      <c r="P94" t="s">
        <v>237</v>
      </c>
      <c r="Q94" t="s">
        <v>256</v>
      </c>
      <c r="R94" s="2">
        <f>Table1[[#This Row],[Global_BoxOfficeUSD]]-Table1[[#This Row],[BudgetUSD]]</f>
        <v>38027796.829999998</v>
      </c>
      <c r="S94" s="15">
        <f>Table1[[#This Row],[Profit]]/Table1[[#This Row],[BudgetUSD]]</f>
        <v>1.5371888673323915</v>
      </c>
      <c r="T94" t="str">
        <f>IF(Table1[[#This Row],[ROI]]&gt;100%,"Hit","Flop")</f>
        <v>Hit</v>
      </c>
    </row>
    <row r="95" spans="1:20" x14ac:dyDescent="0.3">
      <c r="A95">
        <v>7</v>
      </c>
      <c r="B95" t="s">
        <v>41</v>
      </c>
      <c r="C95" t="s">
        <v>18</v>
      </c>
      <c r="D95">
        <v>1991</v>
      </c>
      <c r="E95" s="1">
        <v>33505</v>
      </c>
      <c r="F95" t="s">
        <v>23</v>
      </c>
      <c r="G95" s="2">
        <v>30881640.039999999</v>
      </c>
      <c r="H95" s="2">
        <v>35569499.729999997</v>
      </c>
      <c r="I95" s="2">
        <v>61633322.700000003</v>
      </c>
      <c r="J95" s="2">
        <v>5771559.6299999999</v>
      </c>
      <c r="K95" s="2">
        <v>21305870.039999999</v>
      </c>
      <c r="L95">
        <v>3.6</v>
      </c>
      <c r="M95">
        <v>39</v>
      </c>
      <c r="N95">
        <v>556</v>
      </c>
      <c r="O95">
        <v>98</v>
      </c>
      <c r="P95" t="s">
        <v>42</v>
      </c>
      <c r="Q95" t="s">
        <v>43</v>
      </c>
      <c r="R95" s="2">
        <f>Table1[[#This Row],[Global_BoxOfficeUSD]]-Table1[[#This Row],[BudgetUSD]]</f>
        <v>30751682.660000004</v>
      </c>
      <c r="S95" s="15">
        <f>Table1[[#This Row],[Profit]]/Table1[[#This Row],[BudgetUSD]]</f>
        <v>0.9957917591218709</v>
      </c>
      <c r="T95" t="str">
        <f>IF(Table1[[#This Row],[ROI]]&gt;100%,"Hit","Flop")</f>
        <v>Flop</v>
      </c>
    </row>
    <row r="96" spans="1:20" x14ac:dyDescent="0.3">
      <c r="A96">
        <v>204</v>
      </c>
      <c r="B96" t="s">
        <v>498</v>
      </c>
      <c r="C96" t="s">
        <v>38</v>
      </c>
      <c r="D96">
        <v>1983</v>
      </c>
      <c r="E96" s="1">
        <v>30468</v>
      </c>
      <c r="F96" t="s">
        <v>23</v>
      </c>
      <c r="G96" s="2">
        <v>21583653.280000001</v>
      </c>
      <c r="H96" s="2">
        <v>25746555.59</v>
      </c>
      <c r="I96" s="2">
        <v>59401150.979999997</v>
      </c>
      <c r="J96" s="2">
        <v>4202744.75</v>
      </c>
      <c r="K96" s="2">
        <v>13839737.859999999</v>
      </c>
      <c r="L96">
        <v>10</v>
      </c>
      <c r="M96">
        <v>100</v>
      </c>
      <c r="N96">
        <v>633</v>
      </c>
      <c r="O96">
        <v>2442</v>
      </c>
      <c r="P96" t="s">
        <v>58</v>
      </c>
      <c r="Q96" t="s">
        <v>185</v>
      </c>
      <c r="R96" s="2">
        <f>Table1[[#This Row],[Global_BoxOfficeUSD]]-Table1[[#This Row],[BudgetUSD]]</f>
        <v>37817497.699999996</v>
      </c>
      <c r="S96" s="15">
        <f>Table1[[#This Row],[Profit]]/Table1[[#This Row],[BudgetUSD]]</f>
        <v>1.7521360823120113</v>
      </c>
      <c r="T96" t="str">
        <f>IF(Table1[[#This Row],[ROI]]&gt;100%,"Hit","Flop")</f>
        <v>Hit</v>
      </c>
    </row>
    <row r="97" spans="1:20" x14ac:dyDescent="0.3">
      <c r="A97">
        <v>582</v>
      </c>
      <c r="B97" t="s">
        <v>998</v>
      </c>
      <c r="C97" t="s">
        <v>86</v>
      </c>
      <c r="D97">
        <v>2016</v>
      </c>
      <c r="E97" s="1">
        <v>42532</v>
      </c>
      <c r="F97" t="s">
        <v>139</v>
      </c>
      <c r="G97" s="2">
        <v>14436053.380000001</v>
      </c>
      <c r="H97" s="2">
        <v>29425687.899999999</v>
      </c>
      <c r="I97" s="2">
        <v>58834164.479999997</v>
      </c>
      <c r="J97" s="2">
        <v>8441450.5</v>
      </c>
      <c r="K97" s="2">
        <v>11814404.939999999</v>
      </c>
      <c r="L97">
        <v>6.4</v>
      </c>
      <c r="M97">
        <v>58</v>
      </c>
      <c r="N97">
        <v>69898</v>
      </c>
      <c r="O97">
        <v>18018</v>
      </c>
      <c r="P97" t="s">
        <v>782</v>
      </c>
      <c r="Q97" t="s">
        <v>262</v>
      </c>
      <c r="R97" s="2">
        <f>Table1[[#This Row],[Global_BoxOfficeUSD]]-Table1[[#This Row],[BudgetUSD]]</f>
        <v>44398111.099999994</v>
      </c>
      <c r="S97" s="15">
        <f>Table1[[#This Row],[Profit]]/Table1[[#This Row],[BudgetUSD]]</f>
        <v>3.075502003997161</v>
      </c>
      <c r="T97" t="str">
        <f>IF(Table1[[#This Row],[ROI]]&gt;100%,"Hit","Flop")</f>
        <v>Hit</v>
      </c>
    </row>
    <row r="98" spans="1:20" x14ac:dyDescent="0.3">
      <c r="A98">
        <v>798</v>
      </c>
      <c r="B98" t="s">
        <v>1218</v>
      </c>
      <c r="C98" t="s">
        <v>38</v>
      </c>
      <c r="D98">
        <v>2010</v>
      </c>
      <c r="E98" s="1">
        <v>40508</v>
      </c>
      <c r="F98" t="s">
        <v>23</v>
      </c>
      <c r="G98" s="2">
        <v>13068903.220000001</v>
      </c>
      <c r="H98" s="2">
        <v>29841849.489999998</v>
      </c>
      <c r="I98" s="2">
        <v>58174379.909999996</v>
      </c>
      <c r="J98" s="2">
        <v>8919145.2300000004</v>
      </c>
      <c r="K98" s="2">
        <v>16531902.09</v>
      </c>
      <c r="L98">
        <v>7.7</v>
      </c>
      <c r="M98">
        <v>92</v>
      </c>
      <c r="N98">
        <v>274</v>
      </c>
      <c r="O98">
        <v>50</v>
      </c>
      <c r="P98" t="s">
        <v>450</v>
      </c>
      <c r="Q98" t="s">
        <v>501</v>
      </c>
      <c r="R98" s="2">
        <f>Table1[[#This Row],[Global_BoxOfficeUSD]]-Table1[[#This Row],[BudgetUSD]]</f>
        <v>45105476.689999998</v>
      </c>
      <c r="S98" s="15">
        <f>Table1[[#This Row],[Profit]]/Table1[[#This Row],[BudgetUSD]]</f>
        <v>3.4513589955255628</v>
      </c>
      <c r="T98" t="str">
        <f>IF(Table1[[#This Row],[ROI]]&gt;100%,"Hit","Flop")</f>
        <v>Hit</v>
      </c>
    </row>
    <row r="99" spans="1:20" x14ac:dyDescent="0.3">
      <c r="A99">
        <v>91</v>
      </c>
      <c r="B99" t="s">
        <v>266</v>
      </c>
      <c r="C99" t="s">
        <v>18</v>
      </c>
      <c r="D99">
        <v>2016</v>
      </c>
      <c r="E99" s="1">
        <v>42427</v>
      </c>
      <c r="F99" t="s">
        <v>267</v>
      </c>
      <c r="G99" s="2">
        <v>14151376.199999999</v>
      </c>
      <c r="H99" s="2">
        <v>34925559.090000004</v>
      </c>
      <c r="I99" s="2">
        <v>57682132.270000003</v>
      </c>
      <c r="J99" s="2">
        <v>9617386.5700000003</v>
      </c>
      <c r="K99" s="2">
        <v>20329672.969999999</v>
      </c>
      <c r="L99">
        <v>4.9000000000000004</v>
      </c>
      <c r="M99">
        <v>39</v>
      </c>
      <c r="N99">
        <v>27289</v>
      </c>
      <c r="O99">
        <v>79</v>
      </c>
      <c r="P99" t="s">
        <v>268</v>
      </c>
      <c r="Q99" t="s">
        <v>269</v>
      </c>
      <c r="R99" s="2">
        <f>Table1[[#This Row],[Global_BoxOfficeUSD]]-Table1[[#This Row],[BudgetUSD]]</f>
        <v>43530756.070000008</v>
      </c>
      <c r="S99" s="15">
        <f>Table1[[#This Row],[Profit]]/Table1[[#This Row],[BudgetUSD]]</f>
        <v>3.0760793476750345</v>
      </c>
      <c r="T99" t="str">
        <f>IF(Table1[[#This Row],[ROI]]&gt;100%,"Hit","Flop")</f>
        <v>Hit</v>
      </c>
    </row>
    <row r="100" spans="1:20" x14ac:dyDescent="0.3">
      <c r="A100">
        <v>260</v>
      </c>
      <c r="B100" t="s">
        <v>584</v>
      </c>
      <c r="C100" t="s">
        <v>86</v>
      </c>
      <c r="D100">
        <v>2002</v>
      </c>
      <c r="E100" s="1">
        <v>37279</v>
      </c>
      <c r="F100" t="s">
        <v>23</v>
      </c>
      <c r="G100" s="2">
        <v>16548686.289999999</v>
      </c>
      <c r="H100" s="2">
        <v>32914402.039999999</v>
      </c>
      <c r="I100" s="2">
        <v>57486522.700000003</v>
      </c>
      <c r="J100" s="2">
        <v>6136610.2400000002</v>
      </c>
      <c r="K100" s="2">
        <v>14656265.039999999</v>
      </c>
      <c r="L100">
        <v>7.2</v>
      </c>
      <c r="M100">
        <v>76</v>
      </c>
      <c r="N100">
        <v>3304</v>
      </c>
      <c r="O100">
        <v>512</v>
      </c>
      <c r="P100" t="s">
        <v>20</v>
      </c>
      <c r="Q100" t="s">
        <v>397</v>
      </c>
      <c r="R100" s="2">
        <f>Table1[[#This Row],[Global_BoxOfficeUSD]]-Table1[[#This Row],[BudgetUSD]]</f>
        <v>40937836.410000004</v>
      </c>
      <c r="S100" s="15">
        <f>Table1[[#This Row],[Profit]]/Table1[[#This Row],[BudgetUSD]]</f>
        <v>2.4737816460233355</v>
      </c>
      <c r="T100" t="str">
        <f>IF(Table1[[#This Row],[ROI]]&gt;100%,"Hit","Flop")</f>
        <v>Hit</v>
      </c>
    </row>
    <row r="101" spans="1:20" x14ac:dyDescent="0.3">
      <c r="A101">
        <v>538</v>
      </c>
      <c r="B101" t="s">
        <v>947</v>
      </c>
      <c r="C101" t="s">
        <v>18</v>
      </c>
      <c r="D101">
        <v>1979</v>
      </c>
      <c r="E101" s="1">
        <v>29165</v>
      </c>
      <c r="F101" t="s">
        <v>23</v>
      </c>
      <c r="G101" s="2">
        <v>56719487.119999997</v>
      </c>
      <c r="H101" s="2">
        <v>35819466.420000002</v>
      </c>
      <c r="I101" s="2">
        <v>56719487.119999997</v>
      </c>
      <c r="J101" s="2">
        <v>8114063.2400000002</v>
      </c>
      <c r="K101" s="2">
        <v>20261528.219999999</v>
      </c>
      <c r="L101">
        <v>8.9</v>
      </c>
      <c r="M101">
        <v>100</v>
      </c>
      <c r="N101">
        <v>195</v>
      </c>
      <c r="O101">
        <v>594</v>
      </c>
      <c r="P101" t="s">
        <v>370</v>
      </c>
      <c r="Q101" t="s">
        <v>43</v>
      </c>
      <c r="R101" s="2">
        <f>Table1[[#This Row],[Global_BoxOfficeUSD]]-Table1[[#This Row],[BudgetUSD]]</f>
        <v>0</v>
      </c>
      <c r="S101" s="15">
        <f>Table1[[#This Row],[Profit]]/Table1[[#This Row],[BudgetUSD]]</f>
        <v>0</v>
      </c>
      <c r="T101" t="str">
        <f>IF(Table1[[#This Row],[ROI]]&gt;100%,"Hit","Flop")</f>
        <v>Flop</v>
      </c>
    </row>
    <row r="102" spans="1:20" x14ac:dyDescent="0.3">
      <c r="A102">
        <v>992</v>
      </c>
      <c r="B102" t="s">
        <v>1402</v>
      </c>
      <c r="C102" t="s">
        <v>38</v>
      </c>
      <c r="D102">
        <v>1991</v>
      </c>
      <c r="E102" s="1">
        <v>33285</v>
      </c>
      <c r="F102" t="s">
        <v>34</v>
      </c>
      <c r="G102" s="2">
        <v>17347525.600000001</v>
      </c>
      <c r="H102" s="2">
        <v>37162549.710000001</v>
      </c>
      <c r="I102" s="2">
        <v>56120148.75</v>
      </c>
      <c r="J102" s="2">
        <v>4810605.8499999996</v>
      </c>
      <c r="K102" s="2">
        <v>15227468.07</v>
      </c>
      <c r="L102">
        <v>4.9000000000000004</v>
      </c>
      <c r="M102">
        <v>58</v>
      </c>
      <c r="N102">
        <v>30539</v>
      </c>
      <c r="O102">
        <v>120</v>
      </c>
      <c r="P102" t="s">
        <v>727</v>
      </c>
      <c r="Q102" t="s">
        <v>607</v>
      </c>
      <c r="R102" s="2">
        <f>Table1[[#This Row],[Global_BoxOfficeUSD]]-Table1[[#This Row],[BudgetUSD]]</f>
        <v>38772623.149999999</v>
      </c>
      <c r="S102" s="15">
        <f>Table1[[#This Row],[Profit]]/Table1[[#This Row],[BudgetUSD]]</f>
        <v>2.2350520785511909</v>
      </c>
      <c r="T102" t="str">
        <f>IF(Table1[[#This Row],[ROI]]&gt;100%,"Hit","Flop")</f>
        <v>Hit</v>
      </c>
    </row>
    <row r="103" spans="1:20" x14ac:dyDescent="0.3">
      <c r="A103">
        <v>182</v>
      </c>
      <c r="B103" t="s">
        <v>459</v>
      </c>
      <c r="C103" t="s">
        <v>86</v>
      </c>
      <c r="D103">
        <v>1971</v>
      </c>
      <c r="E103" s="1">
        <v>26052</v>
      </c>
      <c r="F103" t="s">
        <v>23</v>
      </c>
      <c r="G103" s="2">
        <v>36250379.18</v>
      </c>
      <c r="H103" s="2">
        <v>27459011.859999999</v>
      </c>
      <c r="I103" s="2">
        <v>55762221.810000002</v>
      </c>
      <c r="J103" s="2">
        <v>5566233.8600000003</v>
      </c>
      <c r="K103" s="2">
        <v>15520719.189999999</v>
      </c>
      <c r="L103">
        <v>7.4</v>
      </c>
      <c r="M103">
        <v>73</v>
      </c>
      <c r="N103">
        <v>5544</v>
      </c>
      <c r="O103">
        <v>242</v>
      </c>
      <c r="P103" t="s">
        <v>299</v>
      </c>
      <c r="Q103" t="s">
        <v>460</v>
      </c>
      <c r="R103" s="2">
        <f>Table1[[#This Row],[Global_BoxOfficeUSD]]-Table1[[#This Row],[BudgetUSD]]</f>
        <v>19511842.630000003</v>
      </c>
      <c r="S103" s="15">
        <f>Table1[[#This Row],[Profit]]/Table1[[#This Row],[BudgetUSD]]</f>
        <v>0.53825209753295611</v>
      </c>
      <c r="T103" t="str">
        <f>IF(Table1[[#This Row],[ROI]]&gt;100%,"Hit","Flop")</f>
        <v>Flop</v>
      </c>
    </row>
    <row r="104" spans="1:20" x14ac:dyDescent="0.3">
      <c r="A104">
        <v>523</v>
      </c>
      <c r="B104" t="s">
        <v>930</v>
      </c>
      <c r="C104" t="s">
        <v>38</v>
      </c>
      <c r="D104">
        <v>2025</v>
      </c>
      <c r="E104" s="1">
        <v>45939</v>
      </c>
      <c r="F104" t="s">
        <v>23</v>
      </c>
      <c r="G104" s="2">
        <v>22321734.579999998</v>
      </c>
      <c r="H104" s="2">
        <v>29925418.170000002</v>
      </c>
      <c r="I104" s="2">
        <v>54742992.799999997</v>
      </c>
      <c r="J104" s="2">
        <v>6151921.1799999997</v>
      </c>
      <c r="K104" s="2">
        <v>16906458.32</v>
      </c>
      <c r="L104">
        <v>5.8</v>
      </c>
      <c r="M104">
        <v>55</v>
      </c>
      <c r="N104">
        <v>9293</v>
      </c>
      <c r="O104">
        <v>107</v>
      </c>
      <c r="P104" t="s">
        <v>385</v>
      </c>
      <c r="Q104" t="s">
        <v>745</v>
      </c>
      <c r="R104" s="2">
        <f>Table1[[#This Row],[Global_BoxOfficeUSD]]-Table1[[#This Row],[BudgetUSD]]</f>
        <v>32421258.219999999</v>
      </c>
      <c r="S104" s="15">
        <f>Table1[[#This Row],[Profit]]/Table1[[#This Row],[BudgetUSD]]</f>
        <v>1.4524524563180252</v>
      </c>
      <c r="T104" t="str">
        <f>IF(Table1[[#This Row],[ROI]]&gt;100%,"Hit","Flop")</f>
        <v>Hit</v>
      </c>
    </row>
    <row r="105" spans="1:20" x14ac:dyDescent="0.3">
      <c r="A105">
        <v>441</v>
      </c>
      <c r="B105" t="s">
        <v>827</v>
      </c>
      <c r="C105" t="s">
        <v>67</v>
      </c>
      <c r="D105">
        <v>1983</v>
      </c>
      <c r="E105" s="1">
        <v>30449</v>
      </c>
      <c r="F105" t="s">
        <v>23</v>
      </c>
      <c r="G105" s="2">
        <v>21255297.91</v>
      </c>
      <c r="H105" s="2">
        <v>30955356.59</v>
      </c>
      <c r="I105" s="2">
        <v>53814670.280000001</v>
      </c>
      <c r="J105" s="2">
        <v>6335185.3399999999</v>
      </c>
      <c r="K105" s="2">
        <v>13802399.369999999</v>
      </c>
      <c r="L105">
        <v>6.6</v>
      </c>
      <c r="M105">
        <v>58</v>
      </c>
      <c r="N105">
        <v>1566</v>
      </c>
      <c r="O105">
        <v>131</v>
      </c>
      <c r="P105" t="s">
        <v>494</v>
      </c>
      <c r="Q105" t="s">
        <v>43</v>
      </c>
      <c r="R105" s="2">
        <f>Table1[[#This Row],[Global_BoxOfficeUSD]]-Table1[[#This Row],[BudgetUSD]]</f>
        <v>32559372.370000001</v>
      </c>
      <c r="S105" s="15">
        <f>Table1[[#This Row],[Profit]]/Table1[[#This Row],[BudgetUSD]]</f>
        <v>1.531823854356883</v>
      </c>
      <c r="T105" t="str">
        <f>IF(Table1[[#This Row],[ROI]]&gt;100%,"Hit","Flop")</f>
        <v>Hit</v>
      </c>
    </row>
    <row r="106" spans="1:20" x14ac:dyDescent="0.3">
      <c r="A106">
        <v>760</v>
      </c>
      <c r="B106" t="s">
        <v>1181</v>
      </c>
      <c r="C106" t="s">
        <v>86</v>
      </c>
      <c r="D106">
        <v>2020</v>
      </c>
      <c r="E106" s="1">
        <v>44193</v>
      </c>
      <c r="F106" t="s">
        <v>132</v>
      </c>
      <c r="G106" s="2">
        <v>15160479.029999999</v>
      </c>
      <c r="H106" s="2">
        <v>35321017.299999997</v>
      </c>
      <c r="I106" s="2">
        <v>53682995.969999999</v>
      </c>
      <c r="J106" s="2">
        <v>6324872.0700000003</v>
      </c>
      <c r="K106" s="2">
        <v>18633328.43</v>
      </c>
      <c r="L106">
        <v>7.6</v>
      </c>
      <c r="M106">
        <v>44</v>
      </c>
      <c r="N106">
        <v>2048</v>
      </c>
      <c r="O106">
        <v>412</v>
      </c>
      <c r="P106" t="s">
        <v>599</v>
      </c>
      <c r="Q106" t="s">
        <v>650</v>
      </c>
      <c r="R106" s="2">
        <f>Table1[[#This Row],[Global_BoxOfficeUSD]]-Table1[[#This Row],[BudgetUSD]]</f>
        <v>38522516.939999998</v>
      </c>
      <c r="S106" s="15">
        <f>Table1[[#This Row],[Profit]]/Table1[[#This Row],[BudgetUSD]]</f>
        <v>2.5409828319916881</v>
      </c>
      <c r="T106" t="str">
        <f>IF(Table1[[#This Row],[ROI]]&gt;100%,"Hit","Flop")</f>
        <v>Hit</v>
      </c>
    </row>
    <row r="107" spans="1:20" x14ac:dyDescent="0.3">
      <c r="A107">
        <v>429</v>
      </c>
      <c r="B107" t="s">
        <v>813</v>
      </c>
      <c r="C107" t="s">
        <v>18</v>
      </c>
      <c r="D107">
        <v>1986</v>
      </c>
      <c r="E107" s="1">
        <v>31770</v>
      </c>
      <c r="F107" t="s">
        <v>23</v>
      </c>
      <c r="G107" s="2">
        <v>16292293.810000001</v>
      </c>
      <c r="H107" s="2">
        <v>25783843.440000001</v>
      </c>
      <c r="I107" s="2">
        <v>52369686.899999999</v>
      </c>
      <c r="J107" s="2">
        <v>4593763.55</v>
      </c>
      <c r="K107" s="2">
        <v>10960276.970000001</v>
      </c>
      <c r="L107">
        <v>6.4</v>
      </c>
      <c r="M107">
        <v>67</v>
      </c>
      <c r="N107">
        <v>6987</v>
      </c>
      <c r="O107">
        <v>864</v>
      </c>
      <c r="P107" t="s">
        <v>769</v>
      </c>
      <c r="Q107" t="s">
        <v>705</v>
      </c>
      <c r="R107" s="2">
        <f>Table1[[#This Row],[Global_BoxOfficeUSD]]-Table1[[#This Row],[BudgetUSD]]</f>
        <v>36077393.089999996</v>
      </c>
      <c r="S107" s="15">
        <f>Table1[[#This Row],[Profit]]/Table1[[#This Row],[BudgetUSD]]</f>
        <v>2.2143838989606337</v>
      </c>
      <c r="T107" t="str">
        <f>IF(Table1[[#This Row],[ROI]]&gt;100%,"Hit","Flop")</f>
        <v>Hit</v>
      </c>
    </row>
    <row r="108" spans="1:20" x14ac:dyDescent="0.3">
      <c r="A108">
        <v>876</v>
      </c>
      <c r="B108" t="s">
        <v>1291</v>
      </c>
      <c r="C108" t="s">
        <v>67</v>
      </c>
      <c r="D108">
        <v>1987</v>
      </c>
      <c r="E108" s="1">
        <v>31796</v>
      </c>
      <c r="F108" t="s">
        <v>139</v>
      </c>
      <c r="G108" s="2">
        <v>10919791.859999999</v>
      </c>
      <c r="H108" s="2">
        <v>31845051.129999999</v>
      </c>
      <c r="I108" s="2">
        <v>51159107.219999999</v>
      </c>
      <c r="J108" s="2">
        <v>6694962.6399999997</v>
      </c>
      <c r="K108" s="2">
        <v>17936792.460000001</v>
      </c>
      <c r="L108">
        <v>7.3</v>
      </c>
      <c r="M108">
        <v>80</v>
      </c>
      <c r="N108">
        <v>5018</v>
      </c>
      <c r="O108">
        <v>69</v>
      </c>
      <c r="P108" t="s">
        <v>123</v>
      </c>
      <c r="Q108" t="s">
        <v>871</v>
      </c>
      <c r="R108" s="2">
        <f>Table1[[#This Row],[Global_BoxOfficeUSD]]-Table1[[#This Row],[BudgetUSD]]</f>
        <v>40239315.359999999</v>
      </c>
      <c r="S108" s="15">
        <f>Table1[[#This Row],[Profit]]/Table1[[#This Row],[BudgetUSD]]</f>
        <v>3.6849892265254223</v>
      </c>
      <c r="T108" t="str">
        <f>IF(Table1[[#This Row],[ROI]]&gt;100%,"Hit","Flop")</f>
        <v>Hit</v>
      </c>
    </row>
    <row r="109" spans="1:20" x14ac:dyDescent="0.3">
      <c r="A109">
        <v>611</v>
      </c>
      <c r="B109" t="s">
        <v>1030</v>
      </c>
      <c r="C109" t="s">
        <v>38</v>
      </c>
      <c r="D109">
        <v>1999</v>
      </c>
      <c r="E109" s="1">
        <v>36516</v>
      </c>
      <c r="F109" t="s">
        <v>23</v>
      </c>
      <c r="G109" s="2">
        <v>10705250.09</v>
      </c>
      <c r="H109" s="2">
        <v>30542328.800000001</v>
      </c>
      <c r="I109" s="2">
        <v>49879710.640000001</v>
      </c>
      <c r="J109" s="2">
        <v>3575282.11</v>
      </c>
      <c r="K109" s="2">
        <v>12786265.050000001</v>
      </c>
      <c r="L109">
        <v>7.3</v>
      </c>
      <c r="M109">
        <v>56</v>
      </c>
      <c r="N109">
        <v>15590</v>
      </c>
      <c r="O109">
        <v>50</v>
      </c>
      <c r="P109" t="s">
        <v>548</v>
      </c>
      <c r="Q109" t="s">
        <v>950</v>
      </c>
      <c r="R109" s="2">
        <f>Table1[[#This Row],[Global_BoxOfficeUSD]]-Table1[[#This Row],[BudgetUSD]]</f>
        <v>39174460.549999997</v>
      </c>
      <c r="S109" s="15">
        <f>Table1[[#This Row],[Profit]]/Table1[[#This Row],[BudgetUSD]]</f>
        <v>3.6593690218030206</v>
      </c>
      <c r="T109" t="str">
        <f>IF(Table1[[#This Row],[ROI]]&gt;100%,"Hit","Flop")</f>
        <v>Hit</v>
      </c>
    </row>
    <row r="110" spans="1:20" x14ac:dyDescent="0.3">
      <c r="A110">
        <v>292</v>
      </c>
      <c r="B110" t="s">
        <v>630</v>
      </c>
      <c r="C110" t="s">
        <v>38</v>
      </c>
      <c r="D110">
        <v>2006</v>
      </c>
      <c r="E110" s="1">
        <v>39063</v>
      </c>
      <c r="F110" t="s">
        <v>23</v>
      </c>
      <c r="G110" s="2">
        <v>12718286.130000001</v>
      </c>
      <c r="H110" s="2">
        <v>33042499.620000001</v>
      </c>
      <c r="I110" s="2">
        <v>49845327.710000001</v>
      </c>
      <c r="J110" s="2">
        <v>4004025.99</v>
      </c>
      <c r="K110" s="2">
        <v>13458234.67</v>
      </c>
      <c r="L110">
        <v>7.2</v>
      </c>
      <c r="M110">
        <v>55</v>
      </c>
      <c r="N110">
        <v>37261</v>
      </c>
      <c r="O110">
        <v>255</v>
      </c>
      <c r="P110" t="s">
        <v>24</v>
      </c>
      <c r="Q110" t="s">
        <v>616</v>
      </c>
      <c r="R110" s="2">
        <f>Table1[[#This Row],[Global_BoxOfficeUSD]]-Table1[[#This Row],[BudgetUSD]]</f>
        <v>37127041.579999998</v>
      </c>
      <c r="S110" s="15">
        <f>Table1[[#This Row],[Profit]]/Table1[[#This Row],[BudgetUSD]]</f>
        <v>2.9191859029200811</v>
      </c>
      <c r="T110" t="str">
        <f>IF(Table1[[#This Row],[ROI]]&gt;100%,"Hit","Flop")</f>
        <v>Hit</v>
      </c>
    </row>
    <row r="111" spans="1:20" x14ac:dyDescent="0.3">
      <c r="A111">
        <v>473</v>
      </c>
      <c r="B111" t="s">
        <v>869</v>
      </c>
      <c r="C111" t="s">
        <v>77</v>
      </c>
      <c r="D111">
        <v>2023</v>
      </c>
      <c r="E111" s="1">
        <v>45054</v>
      </c>
      <c r="F111" t="s">
        <v>139</v>
      </c>
      <c r="G111" s="2">
        <v>31814289.82</v>
      </c>
      <c r="H111" s="2">
        <v>22983355.039999999</v>
      </c>
      <c r="I111" s="2">
        <v>49447448.729999997</v>
      </c>
      <c r="J111" s="2">
        <v>2507613.65</v>
      </c>
      <c r="K111" s="2">
        <v>12164798.17</v>
      </c>
      <c r="L111">
        <v>8.4</v>
      </c>
      <c r="M111">
        <v>76</v>
      </c>
      <c r="N111">
        <v>5145</v>
      </c>
      <c r="O111">
        <v>143</v>
      </c>
      <c r="P111" t="s">
        <v>485</v>
      </c>
      <c r="Q111" t="s">
        <v>56</v>
      </c>
      <c r="R111" s="2">
        <f>Table1[[#This Row],[Global_BoxOfficeUSD]]-Table1[[#This Row],[BudgetUSD]]</f>
        <v>17633158.909999996</v>
      </c>
      <c r="S111" s="15">
        <f>Table1[[#This Row],[Profit]]/Table1[[#This Row],[BudgetUSD]]</f>
        <v>0.55425279048394605</v>
      </c>
      <c r="T111" t="str">
        <f>IF(Table1[[#This Row],[ROI]]&gt;100%,"Hit","Flop")</f>
        <v>Flop</v>
      </c>
    </row>
    <row r="112" spans="1:20" x14ac:dyDescent="0.3">
      <c r="A112">
        <v>907</v>
      </c>
      <c r="B112" t="s">
        <v>5</v>
      </c>
      <c r="C112" t="s">
        <v>18</v>
      </c>
      <c r="D112">
        <v>2004</v>
      </c>
      <c r="E112" s="1">
        <v>38158</v>
      </c>
      <c r="F112" t="s">
        <v>23</v>
      </c>
      <c r="G112" s="2">
        <v>13751913.24</v>
      </c>
      <c r="H112" s="2">
        <v>20114798.899999999</v>
      </c>
      <c r="I112" s="2">
        <v>48684998.789999999</v>
      </c>
      <c r="J112" s="2">
        <v>4449503.9800000004</v>
      </c>
      <c r="K112" s="2">
        <v>11594736.99</v>
      </c>
      <c r="L112">
        <v>4.8</v>
      </c>
      <c r="M112">
        <v>58</v>
      </c>
      <c r="N112">
        <v>608</v>
      </c>
      <c r="O112">
        <v>1598</v>
      </c>
      <c r="P112" t="s">
        <v>727</v>
      </c>
      <c r="Q112" t="s">
        <v>213</v>
      </c>
      <c r="R112" s="2">
        <f>Table1[[#This Row],[Global_BoxOfficeUSD]]-Table1[[#This Row],[BudgetUSD]]</f>
        <v>34933085.549999997</v>
      </c>
      <c r="S112" s="15">
        <f>Table1[[#This Row],[Profit]]/Table1[[#This Row],[BudgetUSD]]</f>
        <v>2.5402345797521915</v>
      </c>
      <c r="T112" t="str">
        <f>IF(Table1[[#This Row],[ROI]]&gt;100%,"Hit","Flop")</f>
        <v>Hit</v>
      </c>
    </row>
    <row r="113" spans="1:20" x14ac:dyDescent="0.3">
      <c r="A113">
        <v>634</v>
      </c>
      <c r="B113" t="s">
        <v>1052</v>
      </c>
      <c r="C113" t="s">
        <v>38</v>
      </c>
      <c r="D113">
        <v>1990</v>
      </c>
      <c r="E113" s="1">
        <v>32918</v>
      </c>
      <c r="F113" t="s">
        <v>23</v>
      </c>
      <c r="G113" s="2">
        <v>18058489.850000001</v>
      </c>
      <c r="H113" s="2">
        <v>29814117.719999999</v>
      </c>
      <c r="I113" s="2">
        <v>48461588.520000003</v>
      </c>
      <c r="J113" s="2">
        <v>8805464.6099999994</v>
      </c>
      <c r="K113" s="2">
        <v>13659006.310000001</v>
      </c>
      <c r="L113">
        <v>8.5</v>
      </c>
      <c r="M113">
        <v>84</v>
      </c>
      <c r="N113">
        <v>3196</v>
      </c>
      <c r="O113">
        <v>5480</v>
      </c>
      <c r="P113" t="s">
        <v>264</v>
      </c>
      <c r="Q113" t="s">
        <v>562</v>
      </c>
      <c r="R113" s="2">
        <f>Table1[[#This Row],[Global_BoxOfficeUSD]]-Table1[[#This Row],[BudgetUSD]]</f>
        <v>30403098.670000002</v>
      </c>
      <c r="S113" s="15">
        <f>Table1[[#This Row],[Profit]]/Table1[[#This Row],[BudgetUSD]]</f>
        <v>1.6835903180464451</v>
      </c>
      <c r="T113" t="str">
        <f>IF(Table1[[#This Row],[ROI]]&gt;100%,"Hit","Flop")</f>
        <v>Hit</v>
      </c>
    </row>
    <row r="114" spans="1:20" x14ac:dyDescent="0.3">
      <c r="A114">
        <v>284</v>
      </c>
      <c r="B114" t="s">
        <v>620</v>
      </c>
      <c r="C114" t="s">
        <v>77</v>
      </c>
      <c r="D114">
        <v>2013</v>
      </c>
      <c r="E114" s="1">
        <v>41608</v>
      </c>
      <c r="F114" t="s">
        <v>139</v>
      </c>
      <c r="G114" s="2">
        <v>23698946.539999999</v>
      </c>
      <c r="H114" s="2">
        <v>32070672.800000001</v>
      </c>
      <c r="I114" s="2">
        <v>47977841</v>
      </c>
      <c r="J114" s="2">
        <v>5140992.58</v>
      </c>
      <c r="K114" s="2">
        <v>15249885.550000001</v>
      </c>
      <c r="L114">
        <v>8</v>
      </c>
      <c r="M114">
        <v>92</v>
      </c>
      <c r="N114">
        <v>1219</v>
      </c>
      <c r="O114">
        <v>1089</v>
      </c>
      <c r="P114" t="s">
        <v>401</v>
      </c>
      <c r="Q114" t="s">
        <v>327</v>
      </c>
      <c r="R114" s="2">
        <f>Table1[[#This Row],[Global_BoxOfficeUSD]]-Table1[[#This Row],[BudgetUSD]]</f>
        <v>24278894.460000001</v>
      </c>
      <c r="S114" s="15">
        <f>Table1[[#This Row],[Profit]]/Table1[[#This Row],[BudgetUSD]]</f>
        <v>1.0244714641227255</v>
      </c>
      <c r="T114" t="str">
        <f>IF(Table1[[#This Row],[ROI]]&gt;100%,"Hit","Flop")</f>
        <v>Hit</v>
      </c>
    </row>
    <row r="115" spans="1:20" x14ac:dyDescent="0.3">
      <c r="A115">
        <v>308</v>
      </c>
      <c r="B115" t="s">
        <v>652</v>
      </c>
      <c r="C115" t="s">
        <v>67</v>
      </c>
      <c r="D115">
        <v>2001</v>
      </c>
      <c r="E115" s="1">
        <v>36974</v>
      </c>
      <c r="F115" t="s">
        <v>23</v>
      </c>
      <c r="G115" s="2">
        <v>15645358.92</v>
      </c>
      <c r="H115" s="2">
        <v>26089451.52</v>
      </c>
      <c r="I115" s="2">
        <v>47526622.490000002</v>
      </c>
      <c r="J115" s="2">
        <v>7738418.3399999999</v>
      </c>
      <c r="K115" s="2">
        <v>14606766.17</v>
      </c>
      <c r="L115">
        <v>6.4</v>
      </c>
      <c r="M115">
        <v>64</v>
      </c>
      <c r="N115">
        <v>227</v>
      </c>
      <c r="O115">
        <v>944</v>
      </c>
      <c r="P115" t="s">
        <v>55</v>
      </c>
      <c r="Q115" t="s">
        <v>653</v>
      </c>
      <c r="R115" s="2">
        <f>Table1[[#This Row],[Global_BoxOfficeUSD]]-Table1[[#This Row],[BudgetUSD]]</f>
        <v>31881263.57</v>
      </c>
      <c r="S115" s="15">
        <f>Table1[[#This Row],[Profit]]/Table1[[#This Row],[BudgetUSD]]</f>
        <v>2.0377457451132734</v>
      </c>
      <c r="T115" t="str">
        <f>IF(Table1[[#This Row],[ROI]]&gt;100%,"Hit","Flop")</f>
        <v>Hit</v>
      </c>
    </row>
    <row r="116" spans="1:20" x14ac:dyDescent="0.3">
      <c r="A116">
        <v>179</v>
      </c>
      <c r="B116" t="s">
        <v>454</v>
      </c>
      <c r="C116" t="s">
        <v>38</v>
      </c>
      <c r="D116">
        <v>1996</v>
      </c>
      <c r="E116" s="1">
        <v>35239</v>
      </c>
      <c r="F116" t="s">
        <v>23</v>
      </c>
      <c r="G116" s="2">
        <v>10669060.970000001</v>
      </c>
      <c r="H116" s="2">
        <v>24716176.109999999</v>
      </c>
      <c r="I116" s="2">
        <v>47415096.859999999</v>
      </c>
      <c r="J116" s="2">
        <v>3757006.79</v>
      </c>
      <c r="K116" s="2">
        <v>13931217.550000001</v>
      </c>
      <c r="L116">
        <v>6.1</v>
      </c>
      <c r="M116">
        <v>76</v>
      </c>
      <c r="N116">
        <v>3945</v>
      </c>
      <c r="O116">
        <v>94</v>
      </c>
      <c r="P116" t="s">
        <v>126</v>
      </c>
      <c r="Q116" t="s">
        <v>455</v>
      </c>
      <c r="R116" s="2">
        <f>Table1[[#This Row],[Global_BoxOfficeUSD]]-Table1[[#This Row],[BudgetUSD]]</f>
        <v>36746035.890000001</v>
      </c>
      <c r="S116" s="15">
        <f>Table1[[#This Row],[Profit]]/Table1[[#This Row],[BudgetUSD]]</f>
        <v>3.4441677663409207</v>
      </c>
      <c r="T116" t="str">
        <f>IF(Table1[[#This Row],[ROI]]&gt;100%,"Hit","Flop")</f>
        <v>Hit</v>
      </c>
    </row>
    <row r="117" spans="1:20" x14ac:dyDescent="0.3">
      <c r="A117">
        <v>194</v>
      </c>
      <c r="B117" t="s">
        <v>477</v>
      </c>
      <c r="C117" t="s">
        <v>67</v>
      </c>
      <c r="D117">
        <v>1962</v>
      </c>
      <c r="E117" s="1">
        <v>22893</v>
      </c>
      <c r="F117" t="s">
        <v>23</v>
      </c>
      <c r="G117" s="2">
        <v>9721195.6999999993</v>
      </c>
      <c r="H117" s="2">
        <v>27455471.100000001</v>
      </c>
      <c r="I117" s="2">
        <v>46790286.460000001</v>
      </c>
      <c r="J117" s="2">
        <v>3815169.69</v>
      </c>
      <c r="K117" s="2">
        <v>14064389.880000001</v>
      </c>
      <c r="L117">
        <v>5.3</v>
      </c>
      <c r="M117">
        <v>42</v>
      </c>
      <c r="N117">
        <v>91502</v>
      </c>
      <c r="O117">
        <v>2628</v>
      </c>
      <c r="P117" t="s">
        <v>120</v>
      </c>
      <c r="Q117" t="s">
        <v>364</v>
      </c>
      <c r="R117" s="2">
        <f>Table1[[#This Row],[Global_BoxOfficeUSD]]-Table1[[#This Row],[BudgetUSD]]</f>
        <v>37069090.760000005</v>
      </c>
      <c r="S117" s="15">
        <f>Table1[[#This Row],[Profit]]/Table1[[#This Row],[BudgetUSD]]</f>
        <v>3.8132233836214211</v>
      </c>
      <c r="T117" t="str">
        <f>IF(Table1[[#This Row],[ROI]]&gt;100%,"Hit","Flop")</f>
        <v>Hit</v>
      </c>
    </row>
    <row r="118" spans="1:20" x14ac:dyDescent="0.3">
      <c r="A118">
        <v>653</v>
      </c>
      <c r="B118" t="s">
        <v>1073</v>
      </c>
      <c r="C118" t="s">
        <v>67</v>
      </c>
      <c r="D118">
        <v>2017</v>
      </c>
      <c r="E118" s="1">
        <v>42851</v>
      </c>
      <c r="F118" t="s">
        <v>23</v>
      </c>
      <c r="G118" s="2">
        <v>22123696.640000001</v>
      </c>
      <c r="H118" s="2">
        <v>22114050.48</v>
      </c>
      <c r="I118" s="2">
        <v>46653792</v>
      </c>
      <c r="J118" s="2">
        <v>6162174.5999999996</v>
      </c>
      <c r="K118" s="2">
        <v>9452055.1600000001</v>
      </c>
      <c r="L118">
        <v>5.8</v>
      </c>
      <c r="M118">
        <v>58</v>
      </c>
      <c r="N118">
        <v>855</v>
      </c>
      <c r="O118">
        <v>2370</v>
      </c>
      <c r="P118" t="s">
        <v>80</v>
      </c>
      <c r="Q118" t="s">
        <v>357</v>
      </c>
      <c r="R118" s="2">
        <f>Table1[[#This Row],[Global_BoxOfficeUSD]]-Table1[[#This Row],[BudgetUSD]]</f>
        <v>24530095.359999999</v>
      </c>
      <c r="S118" s="15">
        <f>Table1[[#This Row],[Profit]]/Table1[[#This Row],[BudgetUSD]]</f>
        <v>1.1087701914900239</v>
      </c>
      <c r="T118" t="str">
        <f>IF(Table1[[#This Row],[ROI]]&gt;100%,"Hit","Flop")</f>
        <v>Hit</v>
      </c>
    </row>
    <row r="119" spans="1:20" x14ac:dyDescent="0.3">
      <c r="A119">
        <v>161</v>
      </c>
      <c r="B119" t="s">
        <v>413</v>
      </c>
      <c r="C119" t="s">
        <v>67</v>
      </c>
      <c r="D119">
        <v>2014</v>
      </c>
      <c r="E119" s="1">
        <v>41875</v>
      </c>
      <c r="F119" t="s">
        <v>23</v>
      </c>
      <c r="G119" s="2">
        <v>18884580.079999998</v>
      </c>
      <c r="H119" s="2">
        <v>20051844.18</v>
      </c>
      <c r="I119" s="2">
        <v>44715239.32</v>
      </c>
      <c r="J119" s="2">
        <v>2856881.73</v>
      </c>
      <c r="K119" s="2">
        <v>9193254.5999999996</v>
      </c>
      <c r="L119">
        <v>7.5</v>
      </c>
      <c r="M119">
        <v>67</v>
      </c>
      <c r="N119">
        <v>4634</v>
      </c>
      <c r="O119">
        <v>132</v>
      </c>
      <c r="P119" t="s">
        <v>83</v>
      </c>
      <c r="Q119" t="s">
        <v>414</v>
      </c>
      <c r="R119" s="2">
        <f>Table1[[#This Row],[Global_BoxOfficeUSD]]-Table1[[#This Row],[BudgetUSD]]</f>
        <v>25830659.240000002</v>
      </c>
      <c r="S119" s="15">
        <f>Table1[[#This Row],[Profit]]/Table1[[#This Row],[BudgetUSD]]</f>
        <v>1.3678175066945943</v>
      </c>
      <c r="T119" t="str">
        <f>IF(Table1[[#This Row],[ROI]]&gt;100%,"Hit","Flop")</f>
        <v>Hit</v>
      </c>
    </row>
    <row r="120" spans="1:20" x14ac:dyDescent="0.3">
      <c r="A120">
        <v>342</v>
      </c>
      <c r="B120" t="s">
        <v>694</v>
      </c>
      <c r="C120" t="s">
        <v>33</v>
      </c>
      <c r="D120">
        <v>2009</v>
      </c>
      <c r="E120" s="1">
        <v>40138</v>
      </c>
      <c r="F120" t="s">
        <v>249</v>
      </c>
      <c r="G120" s="2">
        <v>11488750.970000001</v>
      </c>
      <c r="H120" s="2">
        <v>28195676.969999999</v>
      </c>
      <c r="I120" s="2">
        <v>44396904.009999998</v>
      </c>
      <c r="J120" s="2">
        <v>5182904.96</v>
      </c>
      <c r="K120" s="2">
        <v>12321347.060000001</v>
      </c>
      <c r="L120">
        <v>8</v>
      </c>
      <c r="M120">
        <v>78</v>
      </c>
      <c r="N120">
        <v>4836</v>
      </c>
      <c r="O120">
        <v>133</v>
      </c>
      <c r="P120" t="s">
        <v>695</v>
      </c>
      <c r="Q120" t="s">
        <v>696</v>
      </c>
      <c r="R120" s="2">
        <f>Table1[[#This Row],[Global_BoxOfficeUSD]]-Table1[[#This Row],[BudgetUSD]]</f>
        <v>32908153.039999999</v>
      </c>
      <c r="S120" s="15">
        <f>Table1[[#This Row],[Profit]]/Table1[[#This Row],[BudgetUSD]]</f>
        <v>2.8643803948689817</v>
      </c>
      <c r="T120" t="str">
        <f>IF(Table1[[#This Row],[ROI]]&gt;100%,"Hit","Flop")</f>
        <v>Hit</v>
      </c>
    </row>
    <row r="121" spans="1:20" x14ac:dyDescent="0.3">
      <c r="A121">
        <v>829</v>
      </c>
      <c r="B121" t="s">
        <v>1247</v>
      </c>
      <c r="C121" t="s">
        <v>38</v>
      </c>
      <c r="D121">
        <v>1971</v>
      </c>
      <c r="E121" s="1">
        <v>26185</v>
      </c>
      <c r="F121" t="s">
        <v>23</v>
      </c>
      <c r="G121" s="2">
        <v>11657864.98</v>
      </c>
      <c r="H121" s="2">
        <v>26838316.73</v>
      </c>
      <c r="I121" s="2">
        <v>43918584.979999997</v>
      </c>
      <c r="J121" s="2">
        <v>6311606</v>
      </c>
      <c r="K121" s="2">
        <v>15068856.460000001</v>
      </c>
      <c r="L121">
        <v>8.3000000000000007</v>
      </c>
      <c r="M121">
        <v>81</v>
      </c>
      <c r="N121">
        <v>1637</v>
      </c>
      <c r="O121">
        <v>50</v>
      </c>
      <c r="P121" t="s">
        <v>861</v>
      </c>
      <c r="Q121" t="s">
        <v>31</v>
      </c>
      <c r="R121" s="2">
        <f>Table1[[#This Row],[Global_BoxOfficeUSD]]-Table1[[#This Row],[BudgetUSD]]</f>
        <v>32260719.999999996</v>
      </c>
      <c r="S121" s="15">
        <f>Table1[[#This Row],[Profit]]/Table1[[#This Row],[BudgetUSD]]</f>
        <v>2.7672923005495296</v>
      </c>
      <c r="T121" t="str">
        <f>IF(Table1[[#This Row],[ROI]]&gt;100%,"Hit","Flop")</f>
        <v>Hit</v>
      </c>
    </row>
    <row r="122" spans="1:20" x14ac:dyDescent="0.3">
      <c r="A122">
        <v>83</v>
      </c>
      <c r="B122" t="s">
        <v>248</v>
      </c>
      <c r="C122" t="s">
        <v>38</v>
      </c>
      <c r="D122">
        <v>1980</v>
      </c>
      <c r="E122" s="1">
        <v>29385</v>
      </c>
      <c r="F122" t="s">
        <v>249</v>
      </c>
      <c r="G122" s="2">
        <v>23974912.09</v>
      </c>
      <c r="H122" s="2">
        <v>21552744.82</v>
      </c>
      <c r="I122" s="2">
        <v>43649740.729999997</v>
      </c>
      <c r="J122" s="2">
        <v>5798470.4800000004</v>
      </c>
      <c r="K122" s="2">
        <v>9599861.5500000007</v>
      </c>
      <c r="L122">
        <v>6.7</v>
      </c>
      <c r="M122">
        <v>77</v>
      </c>
      <c r="N122">
        <v>2369</v>
      </c>
      <c r="O122">
        <v>3907</v>
      </c>
      <c r="P122" t="s">
        <v>246</v>
      </c>
      <c r="Q122" t="s">
        <v>250</v>
      </c>
      <c r="R122" s="2">
        <f>Table1[[#This Row],[Global_BoxOfficeUSD]]-Table1[[#This Row],[BudgetUSD]]</f>
        <v>19674828.639999997</v>
      </c>
      <c r="S122" s="15">
        <f>Table1[[#This Row],[Profit]]/Table1[[#This Row],[BudgetUSD]]</f>
        <v>0.82064236841170402</v>
      </c>
      <c r="T122" t="str">
        <f>IF(Table1[[#This Row],[ROI]]&gt;100%,"Hit","Flop")</f>
        <v>Flop</v>
      </c>
    </row>
    <row r="123" spans="1:20" x14ac:dyDescent="0.3">
      <c r="A123">
        <v>544</v>
      </c>
      <c r="B123" t="s">
        <v>955</v>
      </c>
      <c r="C123" t="s">
        <v>38</v>
      </c>
      <c r="D123">
        <v>1964</v>
      </c>
      <c r="E123" s="1">
        <v>23377</v>
      </c>
      <c r="F123" t="s">
        <v>23</v>
      </c>
      <c r="G123" s="2">
        <v>12160296.300000001</v>
      </c>
      <c r="H123" s="2">
        <v>19497370.41</v>
      </c>
      <c r="I123" s="2">
        <v>43584334.130000003</v>
      </c>
      <c r="J123" s="2">
        <v>2936319.43</v>
      </c>
      <c r="K123" s="2">
        <v>10366008.609999999</v>
      </c>
      <c r="L123">
        <v>8.5</v>
      </c>
      <c r="M123">
        <v>71</v>
      </c>
      <c r="N123">
        <v>4500</v>
      </c>
      <c r="O123">
        <v>485</v>
      </c>
      <c r="P123" t="s">
        <v>52</v>
      </c>
      <c r="Q123" t="s">
        <v>637</v>
      </c>
      <c r="R123" s="2">
        <f>Table1[[#This Row],[Global_BoxOfficeUSD]]-Table1[[#This Row],[BudgetUSD]]</f>
        <v>31424037.830000002</v>
      </c>
      <c r="S123" s="15">
        <f>Table1[[#This Row],[Profit]]/Table1[[#This Row],[BudgetUSD]]</f>
        <v>2.5841506699141861</v>
      </c>
      <c r="T123" t="str">
        <f>IF(Table1[[#This Row],[ROI]]&gt;100%,"Hit","Flop")</f>
        <v>Hit</v>
      </c>
    </row>
    <row r="124" spans="1:20" x14ac:dyDescent="0.3">
      <c r="A124">
        <v>893</v>
      </c>
      <c r="B124" t="s">
        <v>1307</v>
      </c>
      <c r="C124" t="s">
        <v>67</v>
      </c>
      <c r="D124">
        <v>2015</v>
      </c>
      <c r="E124" s="1">
        <v>42369</v>
      </c>
      <c r="F124" t="s">
        <v>23</v>
      </c>
      <c r="G124" s="2">
        <v>12091628.48</v>
      </c>
      <c r="H124" s="2">
        <v>20858316.850000001</v>
      </c>
      <c r="I124" s="2">
        <v>43316301.869999997</v>
      </c>
      <c r="J124" s="2">
        <v>5162442.5199999996</v>
      </c>
      <c r="K124" s="2">
        <v>10212421.74</v>
      </c>
      <c r="L124">
        <v>7.2</v>
      </c>
      <c r="M124">
        <v>67</v>
      </c>
      <c r="N124">
        <v>230</v>
      </c>
      <c r="O124">
        <v>537</v>
      </c>
      <c r="P124" t="s">
        <v>362</v>
      </c>
      <c r="Q124" t="s">
        <v>178</v>
      </c>
      <c r="R124" s="2">
        <f>Table1[[#This Row],[Global_BoxOfficeUSD]]-Table1[[#This Row],[BudgetUSD]]</f>
        <v>31224673.389999997</v>
      </c>
      <c r="S124" s="15">
        <f>Table1[[#This Row],[Profit]]/Table1[[#This Row],[BudgetUSD]]</f>
        <v>2.5823381392875873</v>
      </c>
      <c r="T124" t="str">
        <f>IF(Table1[[#This Row],[ROI]]&gt;100%,"Hit","Flop")</f>
        <v>Hit</v>
      </c>
    </row>
    <row r="125" spans="1:20" x14ac:dyDescent="0.3">
      <c r="A125">
        <v>973</v>
      </c>
      <c r="B125" t="s">
        <v>1383</v>
      </c>
      <c r="C125" t="s">
        <v>38</v>
      </c>
      <c r="D125">
        <v>1987</v>
      </c>
      <c r="E125" s="1">
        <v>31942</v>
      </c>
      <c r="F125" t="s">
        <v>23</v>
      </c>
      <c r="G125" s="2">
        <v>9045897.25</v>
      </c>
      <c r="H125" s="2">
        <v>24444460.140000001</v>
      </c>
      <c r="I125" s="2">
        <v>42896139.859999999</v>
      </c>
      <c r="J125" s="2">
        <v>4647980.04</v>
      </c>
      <c r="K125" s="2">
        <v>12117700.529999999</v>
      </c>
      <c r="L125">
        <v>5.0999999999999996</v>
      </c>
      <c r="M125">
        <v>50</v>
      </c>
      <c r="N125">
        <v>2862</v>
      </c>
      <c r="O125">
        <v>57</v>
      </c>
      <c r="P125" t="s">
        <v>184</v>
      </c>
      <c r="Q125" t="s">
        <v>476</v>
      </c>
      <c r="R125" s="2">
        <f>Table1[[#This Row],[Global_BoxOfficeUSD]]-Table1[[#This Row],[BudgetUSD]]</f>
        <v>33850242.609999999</v>
      </c>
      <c r="S125" s="15">
        <f>Table1[[#This Row],[Profit]]/Table1[[#This Row],[BudgetUSD]]</f>
        <v>3.7420547320499358</v>
      </c>
      <c r="T125" t="str">
        <f>IF(Table1[[#This Row],[ROI]]&gt;100%,"Hit","Flop")</f>
        <v>Hit</v>
      </c>
    </row>
    <row r="126" spans="1:20" x14ac:dyDescent="0.3">
      <c r="A126">
        <v>753</v>
      </c>
      <c r="B126" t="s">
        <v>1173</v>
      </c>
      <c r="C126" t="s">
        <v>38</v>
      </c>
      <c r="D126">
        <v>1982</v>
      </c>
      <c r="E126" s="1">
        <v>30009</v>
      </c>
      <c r="F126" t="s">
        <v>23</v>
      </c>
      <c r="G126" s="2">
        <v>13819060.23</v>
      </c>
      <c r="H126" s="2">
        <v>23888068.579999998</v>
      </c>
      <c r="I126" s="2">
        <v>42719854.490000002</v>
      </c>
      <c r="J126" s="2">
        <v>3358739.55</v>
      </c>
      <c r="K126" s="2">
        <v>13133061.460000001</v>
      </c>
      <c r="L126">
        <v>6.9</v>
      </c>
      <c r="M126">
        <v>63</v>
      </c>
      <c r="N126">
        <v>1162</v>
      </c>
      <c r="O126">
        <v>237</v>
      </c>
      <c r="P126" t="s">
        <v>334</v>
      </c>
      <c r="Q126" t="s">
        <v>331</v>
      </c>
      <c r="R126" s="2">
        <f>Table1[[#This Row],[Global_BoxOfficeUSD]]-Table1[[#This Row],[BudgetUSD]]</f>
        <v>28900794.260000002</v>
      </c>
      <c r="S126" s="15">
        <f>Table1[[#This Row],[Profit]]/Table1[[#This Row],[BudgetUSD]]</f>
        <v>2.0913719007649192</v>
      </c>
      <c r="T126" t="str">
        <f>IF(Table1[[#This Row],[ROI]]&gt;100%,"Hit","Flop")</f>
        <v>Hit</v>
      </c>
    </row>
    <row r="127" spans="1:20" x14ac:dyDescent="0.3">
      <c r="A127">
        <v>607</v>
      </c>
      <c r="B127" t="s">
        <v>1026</v>
      </c>
      <c r="C127" t="s">
        <v>38</v>
      </c>
      <c r="D127">
        <v>1998</v>
      </c>
      <c r="E127" s="1">
        <v>35812</v>
      </c>
      <c r="F127" t="s">
        <v>23</v>
      </c>
      <c r="G127" s="2">
        <v>11464511.15</v>
      </c>
      <c r="H127" s="2">
        <v>20456280.629999999</v>
      </c>
      <c r="I127" s="2">
        <v>42610391.460000001</v>
      </c>
      <c r="J127" s="2">
        <v>2154095.4</v>
      </c>
      <c r="K127" s="2">
        <v>8409601.0899999999</v>
      </c>
      <c r="L127">
        <v>5.2</v>
      </c>
      <c r="M127">
        <v>45</v>
      </c>
      <c r="N127">
        <v>8628</v>
      </c>
      <c r="O127">
        <v>4442</v>
      </c>
      <c r="P127" t="s">
        <v>108</v>
      </c>
      <c r="Q127" t="s">
        <v>124</v>
      </c>
      <c r="R127" s="2">
        <f>Table1[[#This Row],[Global_BoxOfficeUSD]]-Table1[[#This Row],[BudgetUSD]]</f>
        <v>31145880.310000002</v>
      </c>
      <c r="S127" s="15">
        <f>Table1[[#This Row],[Profit]]/Table1[[#This Row],[BudgetUSD]]</f>
        <v>2.7167211844004355</v>
      </c>
      <c r="T127" t="str">
        <f>IF(Table1[[#This Row],[ROI]]&gt;100%,"Hit","Flop")</f>
        <v>Hit</v>
      </c>
    </row>
    <row r="128" spans="1:20" x14ac:dyDescent="0.3">
      <c r="A128">
        <v>693</v>
      </c>
      <c r="B128" t="s">
        <v>1111</v>
      </c>
      <c r="C128" t="s">
        <v>86</v>
      </c>
      <c r="D128">
        <v>2012</v>
      </c>
      <c r="E128" s="1">
        <v>41105</v>
      </c>
      <c r="F128" t="s">
        <v>152</v>
      </c>
      <c r="G128" s="2">
        <v>12401016.689999999</v>
      </c>
      <c r="H128" s="2">
        <v>29659029.149999999</v>
      </c>
      <c r="I128" s="2">
        <v>42523529.689999998</v>
      </c>
      <c r="J128" s="2">
        <v>6030622.5099999998</v>
      </c>
      <c r="K128" s="2">
        <v>15999879.300000001</v>
      </c>
      <c r="L128">
        <v>6.6</v>
      </c>
      <c r="M128">
        <v>84</v>
      </c>
      <c r="N128">
        <v>2721</v>
      </c>
      <c r="O128">
        <v>2894</v>
      </c>
      <c r="P128" t="s">
        <v>967</v>
      </c>
      <c r="Q128" t="s">
        <v>1112</v>
      </c>
      <c r="R128" s="2">
        <f>Table1[[#This Row],[Global_BoxOfficeUSD]]-Table1[[#This Row],[BudgetUSD]]</f>
        <v>30122513</v>
      </c>
      <c r="S128" s="15">
        <f>Table1[[#This Row],[Profit]]/Table1[[#This Row],[BudgetUSD]]</f>
        <v>2.4290357599704193</v>
      </c>
      <c r="T128" t="str">
        <f>IF(Table1[[#This Row],[ROI]]&gt;100%,"Hit","Flop")</f>
        <v>Hit</v>
      </c>
    </row>
    <row r="129" spans="1:20" x14ac:dyDescent="0.3">
      <c r="A129">
        <v>334</v>
      </c>
      <c r="B129" t="s">
        <v>685</v>
      </c>
      <c r="C129" t="s">
        <v>77</v>
      </c>
      <c r="D129">
        <v>2001</v>
      </c>
      <c r="E129" s="1">
        <v>36986</v>
      </c>
      <c r="F129" t="s">
        <v>23</v>
      </c>
      <c r="G129" s="2">
        <v>9007702.6999999993</v>
      </c>
      <c r="H129" s="2">
        <v>23466928.949999999</v>
      </c>
      <c r="I129" s="2">
        <v>42518740.850000001</v>
      </c>
      <c r="J129" s="2">
        <v>6325917.71</v>
      </c>
      <c r="K129" s="2">
        <v>13712255.789999999</v>
      </c>
      <c r="L129">
        <v>7.1</v>
      </c>
      <c r="M129">
        <v>59</v>
      </c>
      <c r="N129">
        <v>10583</v>
      </c>
      <c r="O129">
        <v>650</v>
      </c>
      <c r="P129" t="s">
        <v>494</v>
      </c>
      <c r="Q129" t="s">
        <v>613</v>
      </c>
      <c r="R129" s="2">
        <f>Table1[[#This Row],[Global_BoxOfficeUSD]]-Table1[[#This Row],[BudgetUSD]]</f>
        <v>33511038.150000002</v>
      </c>
      <c r="S129" s="15">
        <f>Table1[[#This Row],[Profit]]/Table1[[#This Row],[BudgetUSD]]</f>
        <v>3.7202646741438308</v>
      </c>
      <c r="T129" t="str">
        <f>IF(Table1[[#This Row],[ROI]]&gt;100%,"Hit","Flop")</f>
        <v>Hit</v>
      </c>
    </row>
    <row r="130" spans="1:20" x14ac:dyDescent="0.3">
      <c r="A130">
        <v>976</v>
      </c>
      <c r="B130" t="s">
        <v>1386</v>
      </c>
      <c r="C130" t="s">
        <v>38</v>
      </c>
      <c r="D130">
        <v>2005</v>
      </c>
      <c r="E130" s="1">
        <v>38482</v>
      </c>
      <c r="F130" t="s">
        <v>23</v>
      </c>
      <c r="G130" s="2">
        <v>14624300.73</v>
      </c>
      <c r="H130" s="2">
        <v>24862333.98</v>
      </c>
      <c r="I130" s="2">
        <v>42398666.299999997</v>
      </c>
      <c r="J130" s="2">
        <v>3236919.53</v>
      </c>
      <c r="K130" s="2">
        <v>12946748.26</v>
      </c>
      <c r="L130">
        <v>4.9000000000000004</v>
      </c>
      <c r="M130">
        <v>54</v>
      </c>
      <c r="N130">
        <v>18891</v>
      </c>
      <c r="O130">
        <v>1908</v>
      </c>
      <c r="P130" t="s">
        <v>430</v>
      </c>
      <c r="Q130" t="s">
        <v>512</v>
      </c>
      <c r="R130" s="2">
        <f>Table1[[#This Row],[Global_BoxOfficeUSD]]-Table1[[#This Row],[BudgetUSD]]</f>
        <v>27774365.569999997</v>
      </c>
      <c r="S130" s="15">
        <f>Table1[[#This Row],[Profit]]/Table1[[#This Row],[BudgetUSD]]</f>
        <v>1.8991927260511139</v>
      </c>
      <c r="T130" t="str">
        <f>IF(Table1[[#This Row],[ROI]]&gt;100%,"Hit","Flop")</f>
        <v>Hit</v>
      </c>
    </row>
    <row r="131" spans="1:20" x14ac:dyDescent="0.3">
      <c r="A131">
        <v>628</v>
      </c>
      <c r="B131" t="s">
        <v>1045</v>
      </c>
      <c r="C131" t="s">
        <v>67</v>
      </c>
      <c r="D131">
        <v>1997</v>
      </c>
      <c r="E131" s="1">
        <v>35762</v>
      </c>
      <c r="F131" t="s">
        <v>23</v>
      </c>
      <c r="G131" s="2">
        <v>42104986.32</v>
      </c>
      <c r="H131" s="2">
        <v>24507963.710000001</v>
      </c>
      <c r="I131" s="2">
        <v>42104986.32</v>
      </c>
      <c r="J131" s="2">
        <v>5040924.79</v>
      </c>
      <c r="K131" s="2">
        <v>11866701.220000001</v>
      </c>
      <c r="L131">
        <v>5.4</v>
      </c>
      <c r="M131">
        <v>41</v>
      </c>
      <c r="N131">
        <v>3402</v>
      </c>
      <c r="O131">
        <v>730</v>
      </c>
      <c r="P131" t="s">
        <v>829</v>
      </c>
      <c r="Q131" t="s">
        <v>210</v>
      </c>
      <c r="R131" s="2">
        <f>Table1[[#This Row],[Global_BoxOfficeUSD]]-Table1[[#This Row],[BudgetUSD]]</f>
        <v>0</v>
      </c>
      <c r="S131" s="15">
        <f>Table1[[#This Row],[Profit]]/Table1[[#This Row],[BudgetUSD]]</f>
        <v>0</v>
      </c>
      <c r="T131" t="str">
        <f>IF(Table1[[#This Row],[ROI]]&gt;100%,"Hit","Flop")</f>
        <v>Flop</v>
      </c>
    </row>
    <row r="132" spans="1:20" x14ac:dyDescent="0.3">
      <c r="A132">
        <v>506</v>
      </c>
      <c r="B132" t="s">
        <v>913</v>
      </c>
      <c r="C132" t="s">
        <v>86</v>
      </c>
      <c r="D132">
        <v>2011</v>
      </c>
      <c r="E132" s="1">
        <v>40732</v>
      </c>
      <c r="F132" t="s">
        <v>23</v>
      </c>
      <c r="G132" s="2">
        <v>9153662.1799999997</v>
      </c>
      <c r="H132" s="2">
        <v>24497417.879999999</v>
      </c>
      <c r="I132" s="2">
        <v>41924829.950000003</v>
      </c>
      <c r="J132" s="2">
        <v>3144746.19</v>
      </c>
      <c r="K132" s="2">
        <v>11469663.57</v>
      </c>
      <c r="L132">
        <v>7.6</v>
      </c>
      <c r="M132">
        <v>75</v>
      </c>
      <c r="N132">
        <v>24736</v>
      </c>
      <c r="O132">
        <v>849</v>
      </c>
      <c r="P132" t="s">
        <v>344</v>
      </c>
      <c r="Q132" t="s">
        <v>300</v>
      </c>
      <c r="R132" s="2">
        <f>Table1[[#This Row],[Global_BoxOfficeUSD]]-Table1[[#This Row],[BudgetUSD]]</f>
        <v>32771167.770000003</v>
      </c>
      <c r="S132" s="15">
        <f>Table1[[#This Row],[Profit]]/Table1[[#This Row],[BudgetUSD]]</f>
        <v>3.5801154910001283</v>
      </c>
      <c r="T132" t="str">
        <f>IF(Table1[[#This Row],[ROI]]&gt;100%,"Hit","Flop")</f>
        <v>Hit</v>
      </c>
    </row>
    <row r="133" spans="1:20" x14ac:dyDescent="0.3">
      <c r="A133">
        <v>466</v>
      </c>
      <c r="B133" t="s">
        <v>859</v>
      </c>
      <c r="C133" t="s">
        <v>86</v>
      </c>
      <c r="D133">
        <v>2000</v>
      </c>
      <c r="E133" s="1">
        <v>36879</v>
      </c>
      <c r="F133" t="s">
        <v>23</v>
      </c>
      <c r="G133" s="2">
        <v>10026291.84</v>
      </c>
      <c r="H133" s="2">
        <v>22013289.57</v>
      </c>
      <c r="I133" s="2">
        <v>41311982.719999999</v>
      </c>
      <c r="J133" s="2">
        <v>2751330.99</v>
      </c>
      <c r="K133" s="2">
        <v>9253689.7599999998</v>
      </c>
      <c r="L133">
        <v>5.3</v>
      </c>
      <c r="M133">
        <v>64</v>
      </c>
      <c r="N133">
        <v>752</v>
      </c>
      <c r="O133">
        <v>505</v>
      </c>
      <c r="P133" t="s">
        <v>829</v>
      </c>
      <c r="Q133" t="s">
        <v>31</v>
      </c>
      <c r="R133" s="2">
        <f>Table1[[#This Row],[Global_BoxOfficeUSD]]-Table1[[#This Row],[BudgetUSD]]</f>
        <v>31285690.879999999</v>
      </c>
      <c r="S133" s="15">
        <f>Table1[[#This Row],[Profit]]/Table1[[#This Row],[BudgetUSD]]</f>
        <v>3.1203650740730882</v>
      </c>
      <c r="T133" t="str">
        <f>IF(Table1[[#This Row],[ROI]]&gt;100%,"Hit","Flop")</f>
        <v>Hit</v>
      </c>
    </row>
    <row r="134" spans="1:20" x14ac:dyDescent="0.3">
      <c r="A134">
        <v>935</v>
      </c>
      <c r="B134" t="s">
        <v>1342</v>
      </c>
      <c r="C134" t="s">
        <v>18</v>
      </c>
      <c r="D134">
        <v>1987</v>
      </c>
      <c r="E134" s="1">
        <v>31812</v>
      </c>
      <c r="F134" t="s">
        <v>23</v>
      </c>
      <c r="G134" s="2">
        <v>18168528.350000001</v>
      </c>
      <c r="H134" s="2">
        <v>27257809.18</v>
      </c>
      <c r="I134" s="2">
        <v>40895314.950000003</v>
      </c>
      <c r="J134" s="2">
        <v>3149986.75</v>
      </c>
      <c r="K134" s="2">
        <v>11341648.109999999</v>
      </c>
      <c r="L134">
        <v>7.6</v>
      </c>
      <c r="M134">
        <v>81</v>
      </c>
      <c r="N134">
        <v>21234</v>
      </c>
      <c r="O134">
        <v>561</v>
      </c>
      <c r="P134" t="s">
        <v>237</v>
      </c>
      <c r="Q134" t="s">
        <v>59</v>
      </c>
      <c r="R134" s="2">
        <f>Table1[[#This Row],[Global_BoxOfficeUSD]]-Table1[[#This Row],[BudgetUSD]]</f>
        <v>22726786.600000001</v>
      </c>
      <c r="S134" s="15">
        <f>Table1[[#This Row],[Profit]]/Table1[[#This Row],[BudgetUSD]]</f>
        <v>1.2508875877115275</v>
      </c>
      <c r="T134" t="str">
        <f>IF(Table1[[#This Row],[ROI]]&gt;100%,"Hit","Flop")</f>
        <v>Hit</v>
      </c>
    </row>
    <row r="135" spans="1:20" x14ac:dyDescent="0.3">
      <c r="A135">
        <v>25</v>
      </c>
      <c r="B135" t="s">
        <v>97</v>
      </c>
      <c r="C135" t="s">
        <v>38</v>
      </c>
      <c r="D135">
        <v>2008</v>
      </c>
      <c r="E135" s="1">
        <v>39672</v>
      </c>
      <c r="F135" t="s">
        <v>23</v>
      </c>
      <c r="G135" s="2">
        <v>9723471.2100000009</v>
      </c>
      <c r="H135" s="2">
        <v>23359088.539999999</v>
      </c>
      <c r="I135" s="2">
        <v>40416194.229999997</v>
      </c>
      <c r="J135" s="2">
        <v>3705611.28</v>
      </c>
      <c r="K135" s="2">
        <v>9456073.5099999998</v>
      </c>
      <c r="L135">
        <v>6.6</v>
      </c>
      <c r="M135">
        <v>69</v>
      </c>
      <c r="N135">
        <v>23341</v>
      </c>
      <c r="O135">
        <v>199</v>
      </c>
      <c r="P135" t="s">
        <v>55</v>
      </c>
      <c r="Q135" t="s">
        <v>98</v>
      </c>
      <c r="R135" s="2">
        <f>Table1[[#This Row],[Global_BoxOfficeUSD]]-Table1[[#This Row],[BudgetUSD]]</f>
        <v>30692723.019999996</v>
      </c>
      <c r="S135" s="15">
        <f>Table1[[#This Row],[Profit]]/Table1[[#This Row],[BudgetUSD]]</f>
        <v>3.1565602815211085</v>
      </c>
      <c r="T135" t="str">
        <f>IF(Table1[[#This Row],[ROI]]&gt;100%,"Hit","Flop")</f>
        <v>Hit</v>
      </c>
    </row>
    <row r="136" spans="1:20" x14ac:dyDescent="0.3">
      <c r="A136">
        <v>945</v>
      </c>
      <c r="B136" t="s">
        <v>1354</v>
      </c>
      <c r="C136" t="s">
        <v>38</v>
      </c>
      <c r="D136">
        <v>1989</v>
      </c>
      <c r="E136" s="1">
        <v>32518</v>
      </c>
      <c r="F136" t="s">
        <v>23</v>
      </c>
      <c r="G136" s="2">
        <v>9581476.3200000003</v>
      </c>
      <c r="H136" s="2">
        <v>23738235.23</v>
      </c>
      <c r="I136" s="2">
        <v>40316173.57</v>
      </c>
      <c r="J136" s="2">
        <v>5485476.6399999997</v>
      </c>
      <c r="K136" s="2">
        <v>12929952.220000001</v>
      </c>
      <c r="L136">
        <v>6.6</v>
      </c>
      <c r="M136">
        <v>72</v>
      </c>
      <c r="N136">
        <v>62796</v>
      </c>
      <c r="O136">
        <v>50</v>
      </c>
      <c r="P136" t="s">
        <v>212</v>
      </c>
      <c r="Q136" t="s">
        <v>193</v>
      </c>
      <c r="R136" s="2">
        <f>Table1[[#This Row],[Global_BoxOfficeUSD]]-Table1[[#This Row],[BudgetUSD]]</f>
        <v>30734697.25</v>
      </c>
      <c r="S136" s="15">
        <f>Table1[[#This Row],[Profit]]/Table1[[#This Row],[BudgetUSD]]</f>
        <v>3.207720420479002</v>
      </c>
      <c r="T136" t="str">
        <f>IF(Table1[[#This Row],[ROI]]&gt;100%,"Hit","Flop")</f>
        <v>Hit</v>
      </c>
    </row>
    <row r="137" spans="1:20" x14ac:dyDescent="0.3">
      <c r="A137">
        <v>299</v>
      </c>
      <c r="B137" t="s">
        <v>638</v>
      </c>
      <c r="C137" t="s">
        <v>38</v>
      </c>
      <c r="D137">
        <v>1993</v>
      </c>
      <c r="E137" s="1">
        <v>34244</v>
      </c>
      <c r="F137" t="s">
        <v>23</v>
      </c>
      <c r="G137" s="2">
        <v>12196979.65</v>
      </c>
      <c r="H137" s="2">
        <v>27087591.27</v>
      </c>
      <c r="I137" s="2">
        <v>40218261.329999998</v>
      </c>
      <c r="J137" s="2">
        <v>5019225.5599999996</v>
      </c>
      <c r="K137" s="2">
        <v>11988708.67</v>
      </c>
      <c r="L137">
        <v>6.8</v>
      </c>
      <c r="M137">
        <v>66</v>
      </c>
      <c r="N137">
        <v>11757</v>
      </c>
      <c r="O137">
        <v>1071</v>
      </c>
      <c r="P137" t="s">
        <v>319</v>
      </c>
      <c r="Q137" t="s">
        <v>308</v>
      </c>
      <c r="R137" s="2">
        <f>Table1[[#This Row],[Global_BoxOfficeUSD]]-Table1[[#This Row],[BudgetUSD]]</f>
        <v>28021281.68</v>
      </c>
      <c r="S137" s="15">
        <f>Table1[[#This Row],[Profit]]/Table1[[#This Row],[BudgetUSD]]</f>
        <v>2.2973951325728414</v>
      </c>
      <c r="T137" t="str">
        <f>IF(Table1[[#This Row],[ROI]]&gt;100%,"Hit","Flop")</f>
        <v>Hit</v>
      </c>
    </row>
    <row r="138" spans="1:20" x14ac:dyDescent="0.3">
      <c r="A138">
        <v>167</v>
      </c>
      <c r="B138" t="s">
        <v>429</v>
      </c>
      <c r="C138" t="s">
        <v>18</v>
      </c>
      <c r="D138">
        <v>1989</v>
      </c>
      <c r="E138" s="1">
        <v>32845</v>
      </c>
      <c r="F138" t="s">
        <v>23</v>
      </c>
      <c r="G138" s="2">
        <v>13406441.23</v>
      </c>
      <c r="H138" s="2">
        <v>18074520.98</v>
      </c>
      <c r="I138" s="2">
        <v>40046070.560000002</v>
      </c>
      <c r="J138" s="2">
        <v>3313439.7</v>
      </c>
      <c r="K138" s="2">
        <v>10044918.68</v>
      </c>
      <c r="L138">
        <v>5.7</v>
      </c>
      <c r="M138">
        <v>62</v>
      </c>
      <c r="N138">
        <v>588</v>
      </c>
      <c r="O138">
        <v>248</v>
      </c>
      <c r="P138" t="s">
        <v>430</v>
      </c>
      <c r="Q138" t="s">
        <v>431</v>
      </c>
      <c r="R138" s="2">
        <f>Table1[[#This Row],[Global_BoxOfficeUSD]]-Table1[[#This Row],[BudgetUSD]]</f>
        <v>26639629.330000002</v>
      </c>
      <c r="S138" s="15">
        <f>Table1[[#This Row],[Profit]]/Table1[[#This Row],[BudgetUSD]]</f>
        <v>1.9870768739423326</v>
      </c>
      <c r="T138" t="str">
        <f>IF(Table1[[#This Row],[ROI]]&gt;100%,"Hit","Flop")</f>
        <v>Hit</v>
      </c>
    </row>
    <row r="139" spans="1:20" x14ac:dyDescent="0.3">
      <c r="A139">
        <v>779</v>
      </c>
      <c r="B139" t="s">
        <v>1200</v>
      </c>
      <c r="C139" t="s">
        <v>77</v>
      </c>
      <c r="D139">
        <v>2021</v>
      </c>
      <c r="E139" s="1">
        <v>44493</v>
      </c>
      <c r="F139" t="s">
        <v>23</v>
      </c>
      <c r="G139" s="2">
        <v>10533241.029999999</v>
      </c>
      <c r="H139" s="2">
        <v>23890939.98</v>
      </c>
      <c r="I139" s="2">
        <v>39935757.57</v>
      </c>
      <c r="J139" s="2">
        <v>4183280.91</v>
      </c>
      <c r="K139" s="2">
        <v>12480155.380000001</v>
      </c>
      <c r="L139">
        <v>8.1</v>
      </c>
      <c r="M139">
        <v>79</v>
      </c>
      <c r="N139">
        <v>3465</v>
      </c>
      <c r="O139">
        <v>94</v>
      </c>
      <c r="P139" t="s">
        <v>351</v>
      </c>
      <c r="Q139" t="s">
        <v>150</v>
      </c>
      <c r="R139" s="2">
        <f>Table1[[#This Row],[Global_BoxOfficeUSD]]-Table1[[#This Row],[BudgetUSD]]</f>
        <v>29402516.539999999</v>
      </c>
      <c r="S139" s="15">
        <f>Table1[[#This Row],[Profit]]/Table1[[#This Row],[BudgetUSD]]</f>
        <v>2.7914026135220795</v>
      </c>
      <c r="T139" t="str">
        <f>IF(Table1[[#This Row],[ROI]]&gt;100%,"Hit","Flop")</f>
        <v>Hit</v>
      </c>
    </row>
    <row r="140" spans="1:20" x14ac:dyDescent="0.3">
      <c r="A140">
        <v>620</v>
      </c>
      <c r="B140" t="s">
        <v>1038</v>
      </c>
      <c r="C140" t="s">
        <v>86</v>
      </c>
      <c r="D140">
        <v>2024</v>
      </c>
      <c r="E140" s="1">
        <v>45531</v>
      </c>
      <c r="F140" t="s">
        <v>19</v>
      </c>
      <c r="G140" s="2">
        <v>12776727.710000001</v>
      </c>
      <c r="H140" s="2">
        <v>16457305.550000001</v>
      </c>
      <c r="I140" s="2">
        <v>39724460.020000003</v>
      </c>
      <c r="J140" s="2">
        <v>4846006.6900000004</v>
      </c>
      <c r="K140" s="2">
        <v>7395182.3300000001</v>
      </c>
      <c r="L140">
        <v>6.5</v>
      </c>
      <c r="M140">
        <v>73</v>
      </c>
      <c r="N140">
        <v>7473</v>
      </c>
      <c r="O140">
        <v>154</v>
      </c>
      <c r="P140" t="s">
        <v>307</v>
      </c>
      <c r="Q140" t="s">
        <v>203</v>
      </c>
      <c r="R140" s="2">
        <f>Table1[[#This Row],[Global_BoxOfficeUSD]]-Table1[[#This Row],[BudgetUSD]]</f>
        <v>26947732.310000002</v>
      </c>
      <c r="S140" s="15">
        <f>Table1[[#This Row],[Profit]]/Table1[[#This Row],[BudgetUSD]]</f>
        <v>2.1091262897391747</v>
      </c>
      <c r="T140" t="str">
        <f>IF(Table1[[#This Row],[ROI]]&gt;100%,"Hit","Flop")</f>
        <v>Hit</v>
      </c>
    </row>
    <row r="141" spans="1:20" x14ac:dyDescent="0.3">
      <c r="A141">
        <v>858</v>
      </c>
      <c r="B141" t="s">
        <v>1275</v>
      </c>
      <c r="C141" t="s">
        <v>45</v>
      </c>
      <c r="D141">
        <v>2003</v>
      </c>
      <c r="E141" s="1">
        <v>37910</v>
      </c>
      <c r="F141" t="s">
        <v>23</v>
      </c>
      <c r="G141" s="2">
        <v>18978593.16</v>
      </c>
      <c r="H141" s="2">
        <v>27677717.59</v>
      </c>
      <c r="I141" s="2">
        <v>39721883.149999999</v>
      </c>
      <c r="J141" s="2">
        <v>7178917.7699999996</v>
      </c>
      <c r="K141" s="2">
        <v>12618624.75</v>
      </c>
      <c r="L141">
        <v>3.2</v>
      </c>
      <c r="M141">
        <v>26</v>
      </c>
      <c r="N141">
        <v>263</v>
      </c>
      <c r="O141">
        <v>4532</v>
      </c>
      <c r="P141" t="s">
        <v>208</v>
      </c>
      <c r="Q141" t="s">
        <v>127</v>
      </c>
      <c r="R141" s="2">
        <f>Table1[[#This Row],[Global_BoxOfficeUSD]]-Table1[[#This Row],[BudgetUSD]]</f>
        <v>20743289.989999998</v>
      </c>
      <c r="S141" s="15">
        <f>Table1[[#This Row],[Profit]]/Table1[[#This Row],[BudgetUSD]]</f>
        <v>1.0929835428328449</v>
      </c>
      <c r="T141" t="str">
        <f>IF(Table1[[#This Row],[ROI]]&gt;100%,"Hit","Flop")</f>
        <v>Hit</v>
      </c>
    </row>
    <row r="142" spans="1:20" x14ac:dyDescent="0.3">
      <c r="A142">
        <v>733</v>
      </c>
      <c r="B142" t="s">
        <v>1150</v>
      </c>
      <c r="C142" t="s">
        <v>86</v>
      </c>
      <c r="D142">
        <v>2001</v>
      </c>
      <c r="E142" s="1">
        <v>36963</v>
      </c>
      <c r="F142" t="s">
        <v>23</v>
      </c>
      <c r="G142" s="2">
        <v>9166980.5099999998</v>
      </c>
      <c r="H142" s="2">
        <v>17935560.84</v>
      </c>
      <c r="I142" s="2">
        <v>39250741.18</v>
      </c>
      <c r="J142" s="2">
        <v>3272350.64</v>
      </c>
      <c r="K142" s="2">
        <v>8255172.4299999997</v>
      </c>
      <c r="L142">
        <v>8.1999999999999993</v>
      </c>
      <c r="M142">
        <v>81</v>
      </c>
      <c r="N142">
        <v>26505</v>
      </c>
      <c r="O142">
        <v>74</v>
      </c>
      <c r="P142" t="s">
        <v>200</v>
      </c>
      <c r="Q142" t="s">
        <v>830</v>
      </c>
      <c r="R142" s="2">
        <f>Table1[[#This Row],[Global_BoxOfficeUSD]]-Table1[[#This Row],[BudgetUSD]]</f>
        <v>30083760.670000002</v>
      </c>
      <c r="S142" s="15">
        <f>Table1[[#This Row],[Profit]]/Table1[[#This Row],[BudgetUSD]]</f>
        <v>3.281752441513591</v>
      </c>
      <c r="T142" t="str">
        <f>IF(Table1[[#This Row],[ROI]]&gt;100%,"Hit","Flop")</f>
        <v>Hit</v>
      </c>
    </row>
    <row r="143" spans="1:20" x14ac:dyDescent="0.3">
      <c r="A143">
        <v>318</v>
      </c>
      <c r="B143" t="s">
        <v>665</v>
      </c>
      <c r="C143" t="s">
        <v>67</v>
      </c>
      <c r="D143">
        <v>1967</v>
      </c>
      <c r="E143" s="1">
        <v>24801</v>
      </c>
      <c r="F143" t="s">
        <v>23</v>
      </c>
      <c r="G143" s="2">
        <v>10385030.98</v>
      </c>
      <c r="H143" s="2">
        <v>22435337.48</v>
      </c>
      <c r="I143" s="2">
        <v>38932355.119999997</v>
      </c>
      <c r="J143" s="2">
        <v>5994114.7300000004</v>
      </c>
      <c r="K143" s="2">
        <v>11605861.02</v>
      </c>
      <c r="L143">
        <v>3.9</v>
      </c>
      <c r="M143">
        <v>36</v>
      </c>
      <c r="N143">
        <v>11775</v>
      </c>
      <c r="O143">
        <v>1820</v>
      </c>
      <c r="P143" t="s">
        <v>133</v>
      </c>
      <c r="Q143" t="s">
        <v>569</v>
      </c>
      <c r="R143" s="2">
        <f>Table1[[#This Row],[Global_BoxOfficeUSD]]-Table1[[#This Row],[BudgetUSD]]</f>
        <v>28547324.139999997</v>
      </c>
      <c r="S143" s="15">
        <f>Table1[[#This Row],[Profit]]/Table1[[#This Row],[BudgetUSD]]</f>
        <v>2.7488915723966376</v>
      </c>
      <c r="T143" t="str">
        <f>IF(Table1[[#This Row],[ROI]]&gt;100%,"Hit","Flop")</f>
        <v>Hit</v>
      </c>
    </row>
    <row r="144" spans="1:20" x14ac:dyDescent="0.3">
      <c r="A144">
        <v>99</v>
      </c>
      <c r="B144" t="s">
        <v>284</v>
      </c>
      <c r="C144" t="s">
        <v>77</v>
      </c>
      <c r="D144">
        <v>2022</v>
      </c>
      <c r="E144" s="1">
        <v>44652</v>
      </c>
      <c r="F144" t="s">
        <v>23</v>
      </c>
      <c r="G144" s="2">
        <v>12613859.33</v>
      </c>
      <c r="H144" s="2">
        <v>18557187.280000001</v>
      </c>
      <c r="I144" s="2">
        <v>38386331.630000003</v>
      </c>
      <c r="J144" s="2">
        <v>2947095.86</v>
      </c>
      <c r="K144" s="2">
        <v>9716160.8800000008</v>
      </c>
      <c r="L144">
        <v>8.4</v>
      </c>
      <c r="M144">
        <v>100</v>
      </c>
      <c r="N144">
        <v>5052</v>
      </c>
      <c r="O144">
        <v>33850</v>
      </c>
      <c r="P144" t="s">
        <v>111</v>
      </c>
      <c r="Q144" t="s">
        <v>285</v>
      </c>
      <c r="R144" s="2">
        <f>Table1[[#This Row],[Global_BoxOfficeUSD]]-Table1[[#This Row],[BudgetUSD]]</f>
        <v>25772472.300000004</v>
      </c>
      <c r="S144" s="15">
        <f>Table1[[#This Row],[Profit]]/Table1[[#This Row],[BudgetUSD]]</f>
        <v>2.0431869125656408</v>
      </c>
      <c r="T144" t="str">
        <f>IF(Table1[[#This Row],[ROI]]&gt;100%,"Hit","Flop")</f>
        <v>Hit</v>
      </c>
    </row>
    <row r="145" spans="1:20" x14ac:dyDescent="0.3">
      <c r="A145">
        <v>778</v>
      </c>
      <c r="B145" t="s">
        <v>1199</v>
      </c>
      <c r="C145" t="s">
        <v>77</v>
      </c>
      <c r="D145">
        <v>2005</v>
      </c>
      <c r="E145" s="1">
        <v>38364</v>
      </c>
      <c r="F145" t="s">
        <v>23</v>
      </c>
      <c r="G145" s="2">
        <v>8692324.9000000004</v>
      </c>
      <c r="H145" s="2">
        <v>19077954.18</v>
      </c>
      <c r="I145" s="2">
        <v>37048500.659999996</v>
      </c>
      <c r="J145" s="2">
        <v>4854930.4800000004</v>
      </c>
      <c r="K145" s="2">
        <v>7981003.0800000001</v>
      </c>
      <c r="L145">
        <v>7.5</v>
      </c>
      <c r="M145">
        <v>64</v>
      </c>
      <c r="N145">
        <v>100</v>
      </c>
      <c r="O145">
        <v>1645</v>
      </c>
      <c r="P145" t="s">
        <v>703</v>
      </c>
      <c r="Q145" t="s">
        <v>62</v>
      </c>
      <c r="R145" s="2">
        <f>Table1[[#This Row],[Global_BoxOfficeUSD]]-Table1[[#This Row],[BudgetUSD]]</f>
        <v>28356175.759999998</v>
      </c>
      <c r="S145" s="15">
        <f>Table1[[#This Row],[Profit]]/Table1[[#This Row],[BudgetUSD]]</f>
        <v>3.2622084524245056</v>
      </c>
      <c r="T145" t="str">
        <f>IF(Table1[[#This Row],[ROI]]&gt;100%,"Hit","Flop")</f>
        <v>Hit</v>
      </c>
    </row>
    <row r="146" spans="1:20" x14ac:dyDescent="0.3">
      <c r="A146">
        <v>51</v>
      </c>
      <c r="B146" t="s">
        <v>171</v>
      </c>
      <c r="C146" t="s">
        <v>18</v>
      </c>
      <c r="D146">
        <v>1994</v>
      </c>
      <c r="E146" s="1">
        <v>34688</v>
      </c>
      <c r="F146" t="s">
        <v>34</v>
      </c>
      <c r="G146" s="2">
        <v>16538725.609999999</v>
      </c>
      <c r="H146" s="2">
        <v>19870382.449999999</v>
      </c>
      <c r="I146" s="2">
        <v>36752241.310000002</v>
      </c>
      <c r="J146" s="2">
        <v>5784169.0899999999</v>
      </c>
      <c r="K146" s="2">
        <v>11776984.6</v>
      </c>
      <c r="L146">
        <v>4.8</v>
      </c>
      <c r="M146">
        <v>30</v>
      </c>
      <c r="N146">
        <v>4177</v>
      </c>
      <c r="O146">
        <v>302</v>
      </c>
      <c r="P146" t="s">
        <v>172</v>
      </c>
      <c r="Q146" t="s">
        <v>75</v>
      </c>
      <c r="R146" s="2">
        <f>Table1[[#This Row],[Global_BoxOfficeUSD]]-Table1[[#This Row],[BudgetUSD]]</f>
        <v>20213515.700000003</v>
      </c>
      <c r="S146" s="15">
        <f>Table1[[#This Row],[Profit]]/Table1[[#This Row],[BudgetUSD]]</f>
        <v>1.2221930623105612</v>
      </c>
      <c r="T146" t="str">
        <f>IF(Table1[[#This Row],[ROI]]&gt;100%,"Hit","Flop")</f>
        <v>Hit</v>
      </c>
    </row>
    <row r="147" spans="1:20" x14ac:dyDescent="0.3">
      <c r="A147">
        <v>238</v>
      </c>
      <c r="B147" t="s">
        <v>551</v>
      </c>
      <c r="C147" t="s">
        <v>33</v>
      </c>
      <c r="D147">
        <v>2022</v>
      </c>
      <c r="E147" s="1">
        <v>44578</v>
      </c>
      <c r="F147" t="s">
        <v>23</v>
      </c>
      <c r="G147" s="2">
        <v>9615801.2300000004</v>
      </c>
      <c r="H147" s="2">
        <v>24688549.75</v>
      </c>
      <c r="I147" s="2">
        <v>36611553.670000002</v>
      </c>
      <c r="J147" s="2">
        <v>3184465.86</v>
      </c>
      <c r="K147" s="2">
        <v>10121288.84</v>
      </c>
      <c r="L147">
        <v>6.3</v>
      </c>
      <c r="M147">
        <v>50</v>
      </c>
      <c r="N147">
        <v>13326</v>
      </c>
      <c r="O147">
        <v>234</v>
      </c>
      <c r="P147" t="s">
        <v>552</v>
      </c>
      <c r="Q147" t="s">
        <v>88</v>
      </c>
      <c r="R147" s="2">
        <f>Table1[[#This Row],[Global_BoxOfficeUSD]]-Table1[[#This Row],[BudgetUSD]]</f>
        <v>26995752.440000001</v>
      </c>
      <c r="S147" s="15">
        <f>Table1[[#This Row],[Profit]]/Table1[[#This Row],[BudgetUSD]]</f>
        <v>2.8074366133710109</v>
      </c>
      <c r="T147" t="str">
        <f>IF(Table1[[#This Row],[ROI]]&gt;100%,"Hit","Flop")</f>
        <v>Hit</v>
      </c>
    </row>
    <row r="148" spans="1:20" x14ac:dyDescent="0.3">
      <c r="A148">
        <v>792</v>
      </c>
      <c r="B148" t="s">
        <v>1212</v>
      </c>
      <c r="C148" t="s">
        <v>67</v>
      </c>
      <c r="D148">
        <v>1994</v>
      </c>
      <c r="E148" s="1">
        <v>34577</v>
      </c>
      <c r="F148" t="s">
        <v>23</v>
      </c>
      <c r="G148" s="2">
        <v>15632161.02</v>
      </c>
      <c r="H148" s="2">
        <v>15290661.779999999</v>
      </c>
      <c r="I148" s="2">
        <v>36548065.390000001</v>
      </c>
      <c r="J148" s="2">
        <v>3995388.9</v>
      </c>
      <c r="K148" s="2">
        <v>7348879.8899999997</v>
      </c>
      <c r="L148">
        <v>4.0999999999999996</v>
      </c>
      <c r="M148">
        <v>48</v>
      </c>
      <c r="N148">
        <v>1967</v>
      </c>
      <c r="O148">
        <v>1127</v>
      </c>
      <c r="P148" t="s">
        <v>690</v>
      </c>
      <c r="Q148" t="s">
        <v>308</v>
      </c>
      <c r="R148" s="2">
        <f>Table1[[#This Row],[Global_BoxOfficeUSD]]-Table1[[#This Row],[BudgetUSD]]</f>
        <v>20915904.370000001</v>
      </c>
      <c r="S148" s="15">
        <f>Table1[[#This Row],[Profit]]/Table1[[#This Row],[BudgetUSD]]</f>
        <v>1.3380046650773305</v>
      </c>
      <c r="T148" t="str">
        <f>IF(Table1[[#This Row],[ROI]]&gt;100%,"Hit","Flop")</f>
        <v>Hit</v>
      </c>
    </row>
    <row r="149" spans="1:20" x14ac:dyDescent="0.3">
      <c r="A149">
        <v>325</v>
      </c>
      <c r="B149" t="s">
        <v>673</v>
      </c>
      <c r="C149" t="s">
        <v>67</v>
      </c>
      <c r="D149">
        <v>1978</v>
      </c>
      <c r="E149" s="1">
        <v>28583</v>
      </c>
      <c r="F149" t="s">
        <v>152</v>
      </c>
      <c r="G149" s="2">
        <v>9924356.3000000007</v>
      </c>
      <c r="H149" s="2">
        <v>17438251.739999998</v>
      </c>
      <c r="I149" s="2">
        <v>36443014.939999998</v>
      </c>
      <c r="J149" s="2">
        <v>2585827.29</v>
      </c>
      <c r="K149" s="2">
        <v>8111494.4400000004</v>
      </c>
      <c r="L149">
        <v>6.2</v>
      </c>
      <c r="M149">
        <v>37</v>
      </c>
      <c r="N149">
        <v>7124</v>
      </c>
      <c r="O149">
        <v>2857</v>
      </c>
      <c r="P149" t="s">
        <v>95</v>
      </c>
      <c r="Q149" t="s">
        <v>253</v>
      </c>
      <c r="R149" s="2">
        <f>Table1[[#This Row],[Global_BoxOfficeUSD]]-Table1[[#This Row],[BudgetUSD]]</f>
        <v>26518658.639999997</v>
      </c>
      <c r="S149" s="15">
        <f>Table1[[#This Row],[Profit]]/Table1[[#This Row],[BudgetUSD]]</f>
        <v>2.672078454095808</v>
      </c>
      <c r="T149" t="str">
        <f>IF(Table1[[#This Row],[ROI]]&gt;100%,"Hit","Flop")</f>
        <v>Hit</v>
      </c>
    </row>
    <row r="150" spans="1:20" x14ac:dyDescent="0.3">
      <c r="A150">
        <v>48</v>
      </c>
      <c r="B150" t="s">
        <v>163</v>
      </c>
      <c r="C150" t="s">
        <v>38</v>
      </c>
      <c r="D150">
        <v>2011</v>
      </c>
      <c r="E150" s="1">
        <v>40687</v>
      </c>
      <c r="F150" t="s">
        <v>132</v>
      </c>
      <c r="G150" s="2">
        <v>14345515.59</v>
      </c>
      <c r="H150" s="2">
        <v>22340579.440000001</v>
      </c>
      <c r="I150" s="2">
        <v>36257512.609999999</v>
      </c>
      <c r="J150" s="2">
        <v>5350194.6100000003</v>
      </c>
      <c r="K150" s="2">
        <v>9151233.8200000003</v>
      </c>
      <c r="L150">
        <v>9.6</v>
      </c>
      <c r="M150">
        <v>87</v>
      </c>
      <c r="N150">
        <v>280</v>
      </c>
      <c r="O150">
        <v>986</v>
      </c>
      <c r="P150" t="s">
        <v>164</v>
      </c>
      <c r="Q150" t="s">
        <v>165</v>
      </c>
      <c r="R150" s="2">
        <f>Table1[[#This Row],[Global_BoxOfficeUSD]]-Table1[[#This Row],[BudgetUSD]]</f>
        <v>21911997.02</v>
      </c>
      <c r="S150" s="15">
        <f>Table1[[#This Row],[Profit]]/Table1[[#This Row],[BudgetUSD]]</f>
        <v>1.5274457639761974</v>
      </c>
      <c r="T150" t="str">
        <f>IF(Table1[[#This Row],[ROI]]&gt;100%,"Hit","Flop")</f>
        <v>Hit</v>
      </c>
    </row>
    <row r="151" spans="1:20" x14ac:dyDescent="0.3">
      <c r="A151">
        <v>880</v>
      </c>
      <c r="B151" t="s">
        <v>1295</v>
      </c>
      <c r="C151" t="s">
        <v>67</v>
      </c>
      <c r="D151">
        <v>1988</v>
      </c>
      <c r="E151" s="1">
        <v>32214</v>
      </c>
      <c r="F151" t="s">
        <v>23</v>
      </c>
      <c r="G151" s="2">
        <v>11337277.58</v>
      </c>
      <c r="H151" s="2">
        <v>17885693</v>
      </c>
      <c r="I151" s="2">
        <v>35670419.57</v>
      </c>
      <c r="J151" s="2">
        <v>3234864.7</v>
      </c>
      <c r="K151" s="2">
        <v>9134654.3499999996</v>
      </c>
      <c r="L151">
        <v>5</v>
      </c>
      <c r="M151">
        <v>58</v>
      </c>
      <c r="N151">
        <v>1547</v>
      </c>
      <c r="O151">
        <v>549</v>
      </c>
      <c r="P151" t="s">
        <v>117</v>
      </c>
      <c r="Q151" t="s">
        <v>580</v>
      </c>
      <c r="R151" s="2">
        <f>Table1[[#This Row],[Global_BoxOfficeUSD]]-Table1[[#This Row],[BudgetUSD]]</f>
        <v>24333141.990000002</v>
      </c>
      <c r="S151" s="15">
        <f>Table1[[#This Row],[Profit]]/Table1[[#This Row],[BudgetUSD]]</f>
        <v>2.1462949829265803</v>
      </c>
      <c r="T151" t="str">
        <f>IF(Table1[[#This Row],[ROI]]&gt;100%,"Hit","Flop")</f>
        <v>Hit</v>
      </c>
    </row>
    <row r="152" spans="1:20" x14ac:dyDescent="0.3">
      <c r="A152">
        <v>567</v>
      </c>
      <c r="B152" t="s">
        <v>921</v>
      </c>
      <c r="C152" t="s">
        <v>77</v>
      </c>
      <c r="D152">
        <v>1982</v>
      </c>
      <c r="E152" s="1">
        <v>30014</v>
      </c>
      <c r="F152" t="s">
        <v>34</v>
      </c>
      <c r="G152" s="2">
        <v>8060921.4400000004</v>
      </c>
      <c r="H152" s="2">
        <v>16179465.970000001</v>
      </c>
      <c r="I152" s="2">
        <v>35654999.770000003</v>
      </c>
      <c r="J152" s="2">
        <v>4522246.95</v>
      </c>
      <c r="K152" s="2">
        <v>7857957.4500000002</v>
      </c>
      <c r="L152">
        <v>4.8</v>
      </c>
      <c r="M152">
        <v>31</v>
      </c>
      <c r="N152">
        <v>841</v>
      </c>
      <c r="O152">
        <v>739</v>
      </c>
      <c r="P152" t="s">
        <v>212</v>
      </c>
      <c r="Q152" t="s">
        <v>747</v>
      </c>
      <c r="R152" s="2">
        <f>Table1[[#This Row],[Global_BoxOfficeUSD]]-Table1[[#This Row],[BudgetUSD]]</f>
        <v>27594078.330000002</v>
      </c>
      <c r="S152" s="15">
        <f>Table1[[#This Row],[Profit]]/Table1[[#This Row],[BudgetUSD]]</f>
        <v>3.4231915712603693</v>
      </c>
      <c r="T152" t="str">
        <f>IF(Table1[[#This Row],[ROI]]&gt;100%,"Hit","Flop")</f>
        <v>Hit</v>
      </c>
    </row>
    <row r="153" spans="1:20" x14ac:dyDescent="0.3">
      <c r="A153">
        <v>351</v>
      </c>
      <c r="B153" t="s">
        <v>707</v>
      </c>
      <c r="C153" t="s">
        <v>38</v>
      </c>
      <c r="D153">
        <v>1970</v>
      </c>
      <c r="E153" s="1">
        <v>25613</v>
      </c>
      <c r="F153" t="s">
        <v>23</v>
      </c>
      <c r="G153" s="2">
        <v>25952841.649999999</v>
      </c>
      <c r="H153" s="2">
        <v>22041595.18</v>
      </c>
      <c r="I153" s="2">
        <v>35640083.619999997</v>
      </c>
      <c r="J153" s="2">
        <v>4588960.3600000003</v>
      </c>
      <c r="K153" s="2">
        <v>11443428.130000001</v>
      </c>
      <c r="L153">
        <v>7.5</v>
      </c>
      <c r="M153">
        <v>66</v>
      </c>
      <c r="N153">
        <v>841</v>
      </c>
      <c r="O153">
        <v>50</v>
      </c>
      <c r="P153" t="s">
        <v>46</v>
      </c>
      <c r="Q153" t="s">
        <v>100</v>
      </c>
      <c r="R153" s="2">
        <f>Table1[[#This Row],[Global_BoxOfficeUSD]]-Table1[[#This Row],[BudgetUSD]]</f>
        <v>9687241.9699999988</v>
      </c>
      <c r="S153" s="15">
        <f>Table1[[#This Row],[Profit]]/Table1[[#This Row],[BudgetUSD]]</f>
        <v>0.37326324803434385</v>
      </c>
      <c r="T153" t="str">
        <f>IF(Table1[[#This Row],[ROI]]&gt;100%,"Hit","Flop")</f>
        <v>Flop</v>
      </c>
    </row>
    <row r="154" spans="1:20" x14ac:dyDescent="0.3">
      <c r="A154">
        <v>633</v>
      </c>
      <c r="B154" t="s">
        <v>1051</v>
      </c>
      <c r="C154" t="s">
        <v>38</v>
      </c>
      <c r="D154">
        <v>1994</v>
      </c>
      <c r="E154" s="1">
        <v>34581</v>
      </c>
      <c r="F154" t="s">
        <v>23</v>
      </c>
      <c r="G154" s="2">
        <v>20580034.399999999</v>
      </c>
      <c r="H154" s="2">
        <v>19837964.129999999</v>
      </c>
      <c r="I154" s="2">
        <v>35615204.259999998</v>
      </c>
      <c r="J154" s="2">
        <v>2735572.27</v>
      </c>
      <c r="K154" s="2">
        <v>10941832.99</v>
      </c>
      <c r="L154">
        <v>7.7</v>
      </c>
      <c r="M154">
        <v>63</v>
      </c>
      <c r="N154">
        <v>1581</v>
      </c>
      <c r="O154">
        <v>10198</v>
      </c>
      <c r="P154" t="s">
        <v>362</v>
      </c>
      <c r="Q154" t="s">
        <v>118</v>
      </c>
      <c r="R154" s="2">
        <f>Table1[[#This Row],[Global_BoxOfficeUSD]]-Table1[[#This Row],[BudgetUSD]]</f>
        <v>15035169.859999999</v>
      </c>
      <c r="S154" s="15">
        <f>Table1[[#This Row],[Profit]]/Table1[[#This Row],[BudgetUSD]]</f>
        <v>0.73057068650963963</v>
      </c>
      <c r="T154" t="str">
        <f>IF(Table1[[#This Row],[ROI]]&gt;100%,"Hit","Flop")</f>
        <v>Flop</v>
      </c>
    </row>
    <row r="155" spans="1:20" x14ac:dyDescent="0.3">
      <c r="A155">
        <v>438</v>
      </c>
      <c r="B155" t="s">
        <v>824</v>
      </c>
      <c r="C155" t="s">
        <v>77</v>
      </c>
      <c r="D155">
        <v>1979</v>
      </c>
      <c r="E155" s="1">
        <v>29010</v>
      </c>
      <c r="F155" t="s">
        <v>19</v>
      </c>
      <c r="G155" s="2">
        <v>35484046.890000001</v>
      </c>
      <c r="H155" s="2">
        <v>17243707.989999998</v>
      </c>
      <c r="I155" s="2">
        <v>35484046.890000001</v>
      </c>
      <c r="J155" s="2">
        <v>3555994.06</v>
      </c>
      <c r="K155" s="2">
        <v>9765863.4000000004</v>
      </c>
      <c r="L155">
        <v>8.1</v>
      </c>
      <c r="M155">
        <v>100</v>
      </c>
      <c r="N155">
        <v>567</v>
      </c>
      <c r="O155">
        <v>691</v>
      </c>
      <c r="P155" t="s">
        <v>416</v>
      </c>
      <c r="Q155" t="s">
        <v>678</v>
      </c>
      <c r="R155" s="2">
        <f>Table1[[#This Row],[Global_BoxOfficeUSD]]-Table1[[#This Row],[BudgetUSD]]</f>
        <v>0</v>
      </c>
      <c r="S155" s="15">
        <f>Table1[[#This Row],[Profit]]/Table1[[#This Row],[BudgetUSD]]</f>
        <v>0</v>
      </c>
      <c r="T155" t="str">
        <f>IF(Table1[[#This Row],[ROI]]&gt;100%,"Hit","Flop")</f>
        <v>Flop</v>
      </c>
    </row>
    <row r="156" spans="1:20" x14ac:dyDescent="0.3">
      <c r="A156">
        <v>960</v>
      </c>
      <c r="B156" t="s">
        <v>1369</v>
      </c>
      <c r="C156" t="s">
        <v>18</v>
      </c>
      <c r="D156">
        <v>1979</v>
      </c>
      <c r="E156" s="1">
        <v>29134</v>
      </c>
      <c r="F156" t="s">
        <v>23</v>
      </c>
      <c r="G156" s="2">
        <v>15001530.43</v>
      </c>
      <c r="H156" s="2">
        <v>20539267.32</v>
      </c>
      <c r="I156" s="2">
        <v>34978311.590000004</v>
      </c>
      <c r="J156" s="2">
        <v>5821970.8200000003</v>
      </c>
      <c r="K156" s="2">
        <v>8884461.6400000006</v>
      </c>
      <c r="L156">
        <v>6.5</v>
      </c>
      <c r="M156">
        <v>69</v>
      </c>
      <c r="N156">
        <v>3709</v>
      </c>
      <c r="O156">
        <v>364</v>
      </c>
      <c r="P156" t="s">
        <v>370</v>
      </c>
      <c r="Q156" t="s">
        <v>404</v>
      </c>
      <c r="R156" s="2">
        <f>Table1[[#This Row],[Global_BoxOfficeUSD]]-Table1[[#This Row],[BudgetUSD]]</f>
        <v>19976781.160000004</v>
      </c>
      <c r="S156" s="15">
        <f>Table1[[#This Row],[Profit]]/Table1[[#This Row],[BudgetUSD]]</f>
        <v>1.3316495442392009</v>
      </c>
      <c r="T156" t="str">
        <f>IF(Table1[[#This Row],[ROI]]&gt;100%,"Hit","Flop")</f>
        <v>Hit</v>
      </c>
    </row>
    <row r="157" spans="1:20" x14ac:dyDescent="0.3">
      <c r="A157">
        <v>268</v>
      </c>
      <c r="B157" t="s">
        <v>594</v>
      </c>
      <c r="C157" t="s">
        <v>77</v>
      </c>
      <c r="D157">
        <v>1974</v>
      </c>
      <c r="E157" s="1">
        <v>27087</v>
      </c>
      <c r="F157" t="s">
        <v>23</v>
      </c>
      <c r="G157" s="2">
        <v>7140182.3099999996</v>
      </c>
      <c r="H157" s="2">
        <v>19973264.120000001</v>
      </c>
      <c r="I157" s="2">
        <v>34801277.229999997</v>
      </c>
      <c r="J157" s="2">
        <v>4532088.2300000004</v>
      </c>
      <c r="K157" s="2">
        <v>9057632.2899999991</v>
      </c>
      <c r="L157">
        <v>4.7</v>
      </c>
      <c r="M157">
        <v>33</v>
      </c>
      <c r="N157">
        <v>10423</v>
      </c>
      <c r="O157">
        <v>137</v>
      </c>
      <c r="P157" t="s">
        <v>302</v>
      </c>
      <c r="Q157" t="s">
        <v>507</v>
      </c>
      <c r="R157" s="2">
        <f>Table1[[#This Row],[Global_BoxOfficeUSD]]-Table1[[#This Row],[BudgetUSD]]</f>
        <v>27661094.919999998</v>
      </c>
      <c r="S157" s="15">
        <f>Table1[[#This Row],[Profit]]/Table1[[#This Row],[BudgetUSD]]</f>
        <v>3.874004012651044</v>
      </c>
      <c r="T157" t="str">
        <f>IF(Table1[[#This Row],[ROI]]&gt;100%,"Hit","Flop")</f>
        <v>Hit</v>
      </c>
    </row>
    <row r="158" spans="1:20" x14ac:dyDescent="0.3">
      <c r="A158">
        <v>938</v>
      </c>
      <c r="B158" t="s">
        <v>1345</v>
      </c>
      <c r="C158" t="s">
        <v>38</v>
      </c>
      <c r="D158">
        <v>2021</v>
      </c>
      <c r="E158" s="1">
        <v>44386</v>
      </c>
      <c r="F158" t="s">
        <v>318</v>
      </c>
      <c r="G158" s="2">
        <v>11828518.380000001</v>
      </c>
      <c r="H158" s="2">
        <v>20787684.039999999</v>
      </c>
      <c r="I158" s="2">
        <v>34750894.399999999</v>
      </c>
      <c r="J158" s="2">
        <v>2984754.05</v>
      </c>
      <c r="K158" s="2">
        <v>9163496.4399999995</v>
      </c>
      <c r="L158">
        <v>3.8</v>
      </c>
      <c r="M158">
        <v>29</v>
      </c>
      <c r="N158">
        <v>20508</v>
      </c>
      <c r="O158">
        <v>1005</v>
      </c>
      <c r="P158" t="s">
        <v>55</v>
      </c>
      <c r="Q158" t="s">
        <v>175</v>
      </c>
      <c r="R158" s="2">
        <f>Table1[[#This Row],[Global_BoxOfficeUSD]]-Table1[[#This Row],[BudgetUSD]]</f>
        <v>22922376.019999996</v>
      </c>
      <c r="S158" s="15">
        <f>Table1[[#This Row],[Profit]]/Table1[[#This Row],[BudgetUSD]]</f>
        <v>1.9378907216949341</v>
      </c>
      <c r="T158" t="str">
        <f>IF(Table1[[#This Row],[ROI]]&gt;100%,"Hit","Flop")</f>
        <v>Hit</v>
      </c>
    </row>
    <row r="159" spans="1:20" x14ac:dyDescent="0.3">
      <c r="A159">
        <v>808</v>
      </c>
      <c r="B159" t="s">
        <v>1228</v>
      </c>
      <c r="C159" t="s">
        <v>38</v>
      </c>
      <c r="D159">
        <v>2019</v>
      </c>
      <c r="E159" s="1">
        <v>43655</v>
      </c>
      <c r="F159" t="s">
        <v>318</v>
      </c>
      <c r="G159" s="2">
        <v>13287451.449999999</v>
      </c>
      <c r="H159" s="2">
        <v>14572677.83</v>
      </c>
      <c r="I159" s="2">
        <v>34457692.719999999</v>
      </c>
      <c r="J159" s="2">
        <v>3581674.26</v>
      </c>
      <c r="K159" s="2">
        <v>6667183.3200000003</v>
      </c>
      <c r="L159">
        <v>6.8</v>
      </c>
      <c r="M159">
        <v>83</v>
      </c>
      <c r="N159">
        <v>2631</v>
      </c>
      <c r="O159">
        <v>74</v>
      </c>
      <c r="P159" t="s">
        <v>172</v>
      </c>
      <c r="Q159" t="s">
        <v>349</v>
      </c>
      <c r="R159" s="2">
        <f>Table1[[#This Row],[Global_BoxOfficeUSD]]-Table1[[#This Row],[BudgetUSD]]</f>
        <v>21170241.27</v>
      </c>
      <c r="S159" s="15">
        <f>Table1[[#This Row],[Profit]]/Table1[[#This Row],[BudgetUSD]]</f>
        <v>1.5932506959413952</v>
      </c>
      <c r="T159" t="str">
        <f>IF(Table1[[#This Row],[ROI]]&gt;100%,"Hit","Flop")</f>
        <v>Hit</v>
      </c>
    </row>
    <row r="160" spans="1:20" x14ac:dyDescent="0.3">
      <c r="A160">
        <v>664</v>
      </c>
      <c r="B160" t="s">
        <v>1085</v>
      </c>
      <c r="C160" t="s">
        <v>38</v>
      </c>
      <c r="D160">
        <v>2022</v>
      </c>
      <c r="E160" s="1">
        <v>44727</v>
      </c>
      <c r="F160" t="s">
        <v>23</v>
      </c>
      <c r="G160" s="2">
        <v>34235946.520000003</v>
      </c>
      <c r="H160" s="2">
        <v>19525150.780000001</v>
      </c>
      <c r="I160" s="2">
        <v>34235946.520000003</v>
      </c>
      <c r="J160" s="2">
        <v>5800198.0300000003</v>
      </c>
      <c r="K160" s="2">
        <v>7922681.3200000003</v>
      </c>
      <c r="L160">
        <v>7.7</v>
      </c>
      <c r="M160">
        <v>62</v>
      </c>
      <c r="N160">
        <v>496</v>
      </c>
      <c r="O160">
        <v>3912</v>
      </c>
      <c r="P160" t="s">
        <v>829</v>
      </c>
      <c r="Q160" t="s">
        <v>780</v>
      </c>
      <c r="R160" s="2">
        <f>Table1[[#This Row],[Global_BoxOfficeUSD]]-Table1[[#This Row],[BudgetUSD]]</f>
        <v>0</v>
      </c>
      <c r="S160" s="15">
        <f>Table1[[#This Row],[Profit]]/Table1[[#This Row],[BudgetUSD]]</f>
        <v>0</v>
      </c>
      <c r="T160" t="str">
        <f>IF(Table1[[#This Row],[ROI]]&gt;100%,"Hit","Flop")</f>
        <v>Flop</v>
      </c>
    </row>
    <row r="161" spans="1:20" x14ac:dyDescent="0.3">
      <c r="A161">
        <v>171</v>
      </c>
      <c r="B161" t="s">
        <v>438</v>
      </c>
      <c r="C161" t="s">
        <v>18</v>
      </c>
      <c r="D161">
        <v>1980</v>
      </c>
      <c r="E161" s="1">
        <v>29465</v>
      </c>
      <c r="F161" t="s">
        <v>23</v>
      </c>
      <c r="G161" s="2">
        <v>7592246.9199999999</v>
      </c>
      <c r="H161" s="2">
        <v>15743802.67</v>
      </c>
      <c r="I161" s="2">
        <v>33815401.329999998</v>
      </c>
      <c r="J161" s="2">
        <v>2466864.96</v>
      </c>
      <c r="K161" s="2">
        <v>7410383.6200000001</v>
      </c>
      <c r="L161">
        <v>8.9</v>
      </c>
      <c r="M161">
        <v>89</v>
      </c>
      <c r="N161">
        <v>8013</v>
      </c>
      <c r="O161">
        <v>876</v>
      </c>
      <c r="P161" t="s">
        <v>58</v>
      </c>
      <c r="Q161" t="s">
        <v>439</v>
      </c>
      <c r="R161" s="2">
        <f>Table1[[#This Row],[Global_BoxOfficeUSD]]-Table1[[#This Row],[BudgetUSD]]</f>
        <v>26223154.409999996</v>
      </c>
      <c r="S161" s="15">
        <f>Table1[[#This Row],[Profit]]/Table1[[#This Row],[BudgetUSD]]</f>
        <v>3.4539385621035619</v>
      </c>
      <c r="T161" t="str">
        <f>IF(Table1[[#This Row],[ROI]]&gt;100%,"Hit","Flop")</f>
        <v>Hit</v>
      </c>
    </row>
    <row r="162" spans="1:20" x14ac:dyDescent="0.3">
      <c r="A162">
        <v>46</v>
      </c>
      <c r="B162" t="s">
        <v>157</v>
      </c>
      <c r="C162" t="s">
        <v>67</v>
      </c>
      <c r="D162">
        <v>2025</v>
      </c>
      <c r="E162" s="1">
        <v>45733</v>
      </c>
      <c r="F162" t="s">
        <v>34</v>
      </c>
      <c r="G162" s="2">
        <v>16134359.029999999</v>
      </c>
      <c r="H162" s="2">
        <v>18254337.620000001</v>
      </c>
      <c r="I162" s="2">
        <v>33790208.229999997</v>
      </c>
      <c r="J162" s="2">
        <v>4386586.46</v>
      </c>
      <c r="K162" s="2">
        <v>8675311.25</v>
      </c>
      <c r="L162">
        <v>7.1</v>
      </c>
      <c r="M162">
        <v>61</v>
      </c>
      <c r="N162">
        <v>3080</v>
      </c>
      <c r="O162">
        <v>330</v>
      </c>
      <c r="P162" t="s">
        <v>158</v>
      </c>
      <c r="Q162" t="s">
        <v>159</v>
      </c>
      <c r="R162" s="2">
        <f>Table1[[#This Row],[Global_BoxOfficeUSD]]-Table1[[#This Row],[BudgetUSD]]</f>
        <v>17655849.199999996</v>
      </c>
      <c r="S162" s="15">
        <f>Table1[[#This Row],[Profit]]/Table1[[#This Row],[BudgetUSD]]</f>
        <v>1.094301246623492</v>
      </c>
      <c r="T162" t="str">
        <f>IF(Table1[[#This Row],[ROI]]&gt;100%,"Hit","Flop")</f>
        <v>Hit</v>
      </c>
    </row>
    <row r="163" spans="1:20" x14ac:dyDescent="0.3">
      <c r="A163">
        <v>218</v>
      </c>
      <c r="B163" t="s">
        <v>521</v>
      </c>
      <c r="C163" t="s">
        <v>77</v>
      </c>
      <c r="D163">
        <v>2009</v>
      </c>
      <c r="E163" s="1">
        <v>39917</v>
      </c>
      <c r="F163" t="s">
        <v>23</v>
      </c>
      <c r="G163" s="2">
        <v>13034956.5</v>
      </c>
      <c r="H163" s="2">
        <v>18908700.280000001</v>
      </c>
      <c r="I163" s="2">
        <v>33533429.91</v>
      </c>
      <c r="J163" s="2">
        <v>5019184.17</v>
      </c>
      <c r="K163" s="2">
        <v>7696326.46</v>
      </c>
      <c r="L163">
        <v>6.9</v>
      </c>
      <c r="M163">
        <v>69</v>
      </c>
      <c r="N163">
        <v>11700</v>
      </c>
      <c r="O163">
        <v>852</v>
      </c>
      <c r="P163" t="s">
        <v>136</v>
      </c>
      <c r="Q163" t="s">
        <v>278</v>
      </c>
      <c r="R163" s="2">
        <f>Table1[[#This Row],[Global_BoxOfficeUSD]]-Table1[[#This Row],[BudgetUSD]]</f>
        <v>20498473.41</v>
      </c>
      <c r="S163" s="15">
        <f>Table1[[#This Row],[Profit]]/Table1[[#This Row],[BudgetUSD]]</f>
        <v>1.5725770477254757</v>
      </c>
      <c r="T163" t="str">
        <f>IF(Table1[[#This Row],[ROI]]&gt;100%,"Hit","Flop")</f>
        <v>Hit</v>
      </c>
    </row>
    <row r="164" spans="1:20" x14ac:dyDescent="0.3">
      <c r="A164">
        <v>500</v>
      </c>
      <c r="B164" t="s">
        <v>905</v>
      </c>
      <c r="C164" t="s">
        <v>18</v>
      </c>
      <c r="D164">
        <v>2024</v>
      </c>
      <c r="E164" s="1">
        <v>45478</v>
      </c>
      <c r="F164" t="s">
        <v>23</v>
      </c>
      <c r="G164" s="2">
        <v>14553621.369999999</v>
      </c>
      <c r="H164" s="2">
        <v>22405340.100000001</v>
      </c>
      <c r="I164" s="2">
        <v>32894015.940000001</v>
      </c>
      <c r="J164" s="2">
        <v>4562153.67</v>
      </c>
      <c r="K164" s="2">
        <v>11779547.140000001</v>
      </c>
      <c r="L164">
        <v>8.8000000000000007</v>
      </c>
      <c r="M164">
        <v>78</v>
      </c>
      <c r="N164">
        <v>5916</v>
      </c>
      <c r="O164">
        <v>1186</v>
      </c>
      <c r="P164" t="s">
        <v>202</v>
      </c>
      <c r="Q164" t="s">
        <v>473</v>
      </c>
      <c r="R164" s="2">
        <f>Table1[[#This Row],[Global_BoxOfficeUSD]]-Table1[[#This Row],[BudgetUSD]]</f>
        <v>18340394.57</v>
      </c>
      <c r="S164" s="15">
        <f>Table1[[#This Row],[Profit]]/Table1[[#This Row],[BudgetUSD]]</f>
        <v>1.2601945662682856</v>
      </c>
      <c r="T164" t="str">
        <f>IF(Table1[[#This Row],[ROI]]&gt;100%,"Hit","Flop")</f>
        <v>Hit</v>
      </c>
    </row>
    <row r="165" spans="1:20" x14ac:dyDescent="0.3">
      <c r="A165">
        <v>594</v>
      </c>
      <c r="B165" t="s">
        <v>1010</v>
      </c>
      <c r="C165" t="s">
        <v>86</v>
      </c>
      <c r="D165">
        <v>2016</v>
      </c>
      <c r="E165" s="1">
        <v>42518</v>
      </c>
      <c r="F165" t="s">
        <v>23</v>
      </c>
      <c r="G165" s="2">
        <v>32595388.579999998</v>
      </c>
      <c r="H165" s="2">
        <v>20879570.550000001</v>
      </c>
      <c r="I165" s="2">
        <v>32595388.579999998</v>
      </c>
      <c r="J165" s="2">
        <v>3037703.7</v>
      </c>
      <c r="K165" s="2">
        <v>10757755.57</v>
      </c>
      <c r="L165">
        <v>6</v>
      </c>
      <c r="M165">
        <v>71</v>
      </c>
      <c r="N165">
        <v>1714</v>
      </c>
      <c r="O165">
        <v>104</v>
      </c>
      <c r="P165" t="s">
        <v>195</v>
      </c>
      <c r="Q165" t="s">
        <v>895</v>
      </c>
      <c r="R165" s="2">
        <f>Table1[[#This Row],[Global_BoxOfficeUSD]]-Table1[[#This Row],[BudgetUSD]]</f>
        <v>0</v>
      </c>
      <c r="S165" s="15">
        <f>Table1[[#This Row],[Profit]]/Table1[[#This Row],[BudgetUSD]]</f>
        <v>0</v>
      </c>
      <c r="T165" t="str">
        <f>IF(Table1[[#This Row],[ROI]]&gt;100%,"Hit","Flop")</f>
        <v>Flop</v>
      </c>
    </row>
    <row r="166" spans="1:20" x14ac:dyDescent="0.3">
      <c r="A166">
        <v>280</v>
      </c>
      <c r="B166" t="s">
        <v>615</v>
      </c>
      <c r="C166" t="s">
        <v>77</v>
      </c>
      <c r="D166">
        <v>2006</v>
      </c>
      <c r="E166" s="1">
        <v>38869</v>
      </c>
      <c r="F166" t="s">
        <v>23</v>
      </c>
      <c r="G166" s="2">
        <v>7673660.8600000003</v>
      </c>
      <c r="H166" s="2">
        <v>13645767.529999999</v>
      </c>
      <c r="I166" s="2">
        <v>32433644.59</v>
      </c>
      <c r="J166" s="2">
        <v>2391590.63</v>
      </c>
      <c r="K166" s="2">
        <v>6366662.5499999998</v>
      </c>
      <c r="L166">
        <v>5.2</v>
      </c>
      <c r="M166">
        <v>47</v>
      </c>
      <c r="N166">
        <v>9620</v>
      </c>
      <c r="O166">
        <v>398</v>
      </c>
      <c r="P166" t="s">
        <v>488</v>
      </c>
      <c r="Q166" t="s">
        <v>616</v>
      </c>
      <c r="R166" s="2">
        <f>Table1[[#This Row],[Global_BoxOfficeUSD]]-Table1[[#This Row],[BudgetUSD]]</f>
        <v>24759983.73</v>
      </c>
      <c r="S166" s="15">
        <f>Table1[[#This Row],[Profit]]/Table1[[#This Row],[BudgetUSD]]</f>
        <v>3.2266194951440688</v>
      </c>
      <c r="T166" t="str">
        <f>IF(Table1[[#This Row],[ROI]]&gt;100%,"Hit","Flop")</f>
        <v>Hit</v>
      </c>
    </row>
    <row r="167" spans="1:20" x14ac:dyDescent="0.3">
      <c r="A167">
        <v>124</v>
      </c>
      <c r="B167" t="s">
        <v>341</v>
      </c>
      <c r="C167" t="s">
        <v>18</v>
      </c>
      <c r="D167">
        <v>2021</v>
      </c>
      <c r="E167" s="1">
        <v>44279</v>
      </c>
      <c r="F167" t="s">
        <v>19</v>
      </c>
      <c r="G167" s="2">
        <v>7184310.79</v>
      </c>
      <c r="H167" s="2">
        <v>20878488.02</v>
      </c>
      <c r="I167" s="2">
        <v>32299503.949999999</v>
      </c>
      <c r="J167" s="2">
        <v>5093588.13</v>
      </c>
      <c r="K167" s="2">
        <v>10261130.67</v>
      </c>
      <c r="L167">
        <v>5.7</v>
      </c>
      <c r="M167">
        <v>55</v>
      </c>
      <c r="N167">
        <v>6991</v>
      </c>
      <c r="O167">
        <v>1029</v>
      </c>
      <c r="P167" t="s">
        <v>174</v>
      </c>
      <c r="Q167" t="s">
        <v>342</v>
      </c>
      <c r="R167" s="2">
        <f>Table1[[#This Row],[Global_BoxOfficeUSD]]-Table1[[#This Row],[BudgetUSD]]</f>
        <v>25115193.16</v>
      </c>
      <c r="S167" s="15">
        <f>Table1[[#This Row],[Profit]]/Table1[[#This Row],[BudgetUSD]]</f>
        <v>3.4958389042632159</v>
      </c>
      <c r="T167" t="str">
        <f>IF(Table1[[#This Row],[ROI]]&gt;100%,"Hit","Flop")</f>
        <v>Hit</v>
      </c>
    </row>
    <row r="168" spans="1:20" x14ac:dyDescent="0.3">
      <c r="A168">
        <v>446</v>
      </c>
      <c r="B168" t="s">
        <v>837</v>
      </c>
      <c r="C168" t="s">
        <v>38</v>
      </c>
      <c r="D168">
        <v>2021</v>
      </c>
      <c r="E168" s="1">
        <v>44462</v>
      </c>
      <c r="F168" t="s">
        <v>23</v>
      </c>
      <c r="G168" s="2">
        <v>6537232.7699999996</v>
      </c>
      <c r="H168" s="2">
        <v>14520735.91</v>
      </c>
      <c r="I168" s="2">
        <v>32128256.960000001</v>
      </c>
      <c r="J168" s="2">
        <v>2692395.77</v>
      </c>
      <c r="K168" s="2">
        <v>7399584.6100000003</v>
      </c>
      <c r="L168">
        <v>6.8</v>
      </c>
      <c r="M168">
        <v>70</v>
      </c>
      <c r="N168">
        <v>1192</v>
      </c>
      <c r="O168">
        <v>221</v>
      </c>
      <c r="P168" t="s">
        <v>472</v>
      </c>
      <c r="Q168" t="s">
        <v>821</v>
      </c>
      <c r="R168" s="2">
        <f>Table1[[#This Row],[Global_BoxOfficeUSD]]-Table1[[#This Row],[BudgetUSD]]</f>
        <v>25591024.190000001</v>
      </c>
      <c r="S168" s="15">
        <f>Table1[[#This Row],[Profit]]/Table1[[#This Row],[BudgetUSD]]</f>
        <v>3.914657025437386</v>
      </c>
      <c r="T168" t="str">
        <f>IF(Table1[[#This Row],[ROI]]&gt;100%,"Hit","Flop")</f>
        <v>Hit</v>
      </c>
    </row>
    <row r="169" spans="1:20" x14ac:dyDescent="0.3">
      <c r="A169">
        <v>688</v>
      </c>
      <c r="B169" t="s">
        <v>1107</v>
      </c>
      <c r="C169" t="s">
        <v>18</v>
      </c>
      <c r="D169">
        <v>1977</v>
      </c>
      <c r="E169" s="1">
        <v>28291</v>
      </c>
      <c r="F169" t="s">
        <v>23</v>
      </c>
      <c r="G169" s="2">
        <v>9043566.8599999994</v>
      </c>
      <c r="H169" s="2">
        <v>21651386.079999998</v>
      </c>
      <c r="I169" s="2">
        <v>31984174.09</v>
      </c>
      <c r="J169" s="2">
        <v>5917614.7699999996</v>
      </c>
      <c r="K169" s="2">
        <v>9197406.5399999991</v>
      </c>
      <c r="L169">
        <v>6.8</v>
      </c>
      <c r="M169">
        <v>59</v>
      </c>
      <c r="N169">
        <v>498</v>
      </c>
      <c r="O169">
        <v>172</v>
      </c>
      <c r="P169" t="s">
        <v>416</v>
      </c>
      <c r="Q169" t="s">
        <v>678</v>
      </c>
      <c r="R169" s="2">
        <f>Table1[[#This Row],[Global_BoxOfficeUSD]]-Table1[[#This Row],[BudgetUSD]]</f>
        <v>22940607.23</v>
      </c>
      <c r="S169" s="15">
        <f>Table1[[#This Row],[Profit]]/Table1[[#This Row],[BudgetUSD]]</f>
        <v>2.5366769091371544</v>
      </c>
      <c r="T169" t="str">
        <f>IF(Table1[[#This Row],[ROI]]&gt;100%,"Hit","Flop")</f>
        <v>Hit</v>
      </c>
    </row>
    <row r="170" spans="1:20" x14ac:dyDescent="0.3">
      <c r="A170">
        <v>911</v>
      </c>
      <c r="B170" t="s">
        <v>1321</v>
      </c>
      <c r="C170" t="s">
        <v>38</v>
      </c>
      <c r="D170">
        <v>1976</v>
      </c>
      <c r="E170" s="1">
        <v>27834</v>
      </c>
      <c r="F170" t="s">
        <v>132</v>
      </c>
      <c r="G170" s="2">
        <v>10148993.470000001</v>
      </c>
      <c r="H170" s="2">
        <v>13007089.810000001</v>
      </c>
      <c r="I170" s="2">
        <v>31613689.920000002</v>
      </c>
      <c r="J170" s="2">
        <v>1910809.28</v>
      </c>
      <c r="K170" s="2">
        <v>5764321.8200000003</v>
      </c>
      <c r="L170">
        <v>6.8</v>
      </c>
      <c r="M170">
        <v>66</v>
      </c>
      <c r="N170">
        <v>4635</v>
      </c>
      <c r="O170">
        <v>2375</v>
      </c>
      <c r="P170" t="s">
        <v>401</v>
      </c>
      <c r="Q170" t="s">
        <v>127</v>
      </c>
      <c r="R170" s="2">
        <f>Table1[[#This Row],[Global_BoxOfficeUSD]]-Table1[[#This Row],[BudgetUSD]]</f>
        <v>21464696.450000003</v>
      </c>
      <c r="S170" s="15">
        <f>Table1[[#This Row],[Profit]]/Table1[[#This Row],[BudgetUSD]]</f>
        <v>2.1149581496380647</v>
      </c>
      <c r="T170" t="str">
        <f>IF(Table1[[#This Row],[ROI]]&gt;100%,"Hit","Flop")</f>
        <v>Hit</v>
      </c>
    </row>
    <row r="171" spans="1:20" x14ac:dyDescent="0.3">
      <c r="A171">
        <v>705</v>
      </c>
      <c r="B171" t="s">
        <v>1124</v>
      </c>
      <c r="C171" t="s">
        <v>18</v>
      </c>
      <c r="D171">
        <v>1984</v>
      </c>
      <c r="E171" s="1">
        <v>30966</v>
      </c>
      <c r="F171" t="s">
        <v>23</v>
      </c>
      <c r="G171" s="2">
        <v>27773565.870000001</v>
      </c>
      <c r="H171" s="2">
        <v>18520870.600000001</v>
      </c>
      <c r="I171" s="2">
        <v>31550287.690000001</v>
      </c>
      <c r="J171" s="2">
        <v>3115742.79</v>
      </c>
      <c r="K171" s="2">
        <v>8146704.7800000003</v>
      </c>
      <c r="L171">
        <v>5.6</v>
      </c>
      <c r="M171">
        <v>48</v>
      </c>
      <c r="N171">
        <v>7638</v>
      </c>
      <c r="O171">
        <v>449</v>
      </c>
      <c r="P171" t="s">
        <v>71</v>
      </c>
      <c r="Q171" t="s">
        <v>124</v>
      </c>
      <c r="R171" s="2">
        <f>Table1[[#This Row],[Global_BoxOfficeUSD]]-Table1[[#This Row],[BudgetUSD]]</f>
        <v>3776721.8200000003</v>
      </c>
      <c r="S171" s="15">
        <f>Table1[[#This Row],[Profit]]/Table1[[#This Row],[BudgetUSD]]</f>
        <v>0.13598260438280554</v>
      </c>
      <c r="T171" t="str">
        <f>IF(Table1[[#This Row],[ROI]]&gt;100%,"Hit","Flop")</f>
        <v>Flop</v>
      </c>
    </row>
    <row r="172" spans="1:20" x14ac:dyDescent="0.3">
      <c r="A172">
        <v>991</v>
      </c>
      <c r="B172" t="s">
        <v>1401</v>
      </c>
      <c r="C172" t="s">
        <v>33</v>
      </c>
      <c r="D172">
        <v>1965</v>
      </c>
      <c r="E172" s="1">
        <v>23991</v>
      </c>
      <c r="F172" t="s">
        <v>34</v>
      </c>
      <c r="G172" s="2">
        <v>15989541.41</v>
      </c>
      <c r="H172" s="2">
        <v>15748439.689999999</v>
      </c>
      <c r="I172" s="2">
        <v>31368766.77</v>
      </c>
      <c r="J172" s="2">
        <v>2384060.4700000002</v>
      </c>
      <c r="K172" s="2">
        <v>8759811.4900000002</v>
      </c>
      <c r="L172">
        <v>7.1</v>
      </c>
      <c r="M172">
        <v>75</v>
      </c>
      <c r="N172">
        <v>23132</v>
      </c>
      <c r="O172">
        <v>111</v>
      </c>
      <c r="P172" t="s">
        <v>645</v>
      </c>
      <c r="Q172" t="s">
        <v>1056</v>
      </c>
      <c r="R172" s="2">
        <f>Table1[[#This Row],[Global_BoxOfficeUSD]]-Table1[[#This Row],[BudgetUSD]]</f>
        <v>15379225.359999999</v>
      </c>
      <c r="S172" s="15">
        <f>Table1[[#This Row],[Profit]]/Table1[[#This Row],[BudgetUSD]]</f>
        <v>0.96183029679523491</v>
      </c>
      <c r="T172" t="str">
        <f>IF(Table1[[#This Row],[ROI]]&gt;100%,"Hit","Flop")</f>
        <v>Flop</v>
      </c>
    </row>
    <row r="173" spans="1:20" x14ac:dyDescent="0.3">
      <c r="A173">
        <v>107</v>
      </c>
      <c r="B173" t="s">
        <v>301</v>
      </c>
      <c r="C173" t="s">
        <v>18</v>
      </c>
      <c r="D173">
        <v>2013</v>
      </c>
      <c r="E173" s="1">
        <v>41319</v>
      </c>
      <c r="F173" t="s">
        <v>23</v>
      </c>
      <c r="G173" s="2">
        <v>18366087.809999999</v>
      </c>
      <c r="H173" s="2">
        <v>18000226.399999999</v>
      </c>
      <c r="I173" s="2">
        <v>31238452.829999998</v>
      </c>
      <c r="J173" s="2">
        <v>3491028.21</v>
      </c>
      <c r="K173" s="2">
        <v>10374090.07</v>
      </c>
      <c r="L173">
        <v>5.7</v>
      </c>
      <c r="M173">
        <v>47</v>
      </c>
      <c r="N173">
        <v>8982</v>
      </c>
      <c r="O173">
        <v>1909</v>
      </c>
      <c r="P173" t="s">
        <v>302</v>
      </c>
      <c r="Q173" t="s">
        <v>303</v>
      </c>
      <c r="R173" s="2">
        <f>Table1[[#This Row],[Global_BoxOfficeUSD]]-Table1[[#This Row],[BudgetUSD]]</f>
        <v>12872365.02</v>
      </c>
      <c r="S173" s="15">
        <f>Table1[[#This Row],[Profit]]/Table1[[#This Row],[BudgetUSD]]</f>
        <v>0.70087680910418126</v>
      </c>
      <c r="T173" t="str">
        <f>IF(Table1[[#This Row],[ROI]]&gt;100%,"Hit","Flop")</f>
        <v>Flop</v>
      </c>
    </row>
    <row r="174" spans="1:20" x14ac:dyDescent="0.3">
      <c r="A174">
        <v>767</v>
      </c>
      <c r="B174" t="s">
        <v>1189</v>
      </c>
      <c r="C174" t="s">
        <v>45</v>
      </c>
      <c r="D174">
        <v>1961</v>
      </c>
      <c r="E174" s="1">
        <v>22408</v>
      </c>
      <c r="F174" t="s">
        <v>23</v>
      </c>
      <c r="G174" s="2">
        <v>8390837.3399999999</v>
      </c>
      <c r="H174" s="2">
        <v>17355774.800000001</v>
      </c>
      <c r="I174" s="2">
        <v>30968183.559999999</v>
      </c>
      <c r="J174" s="2">
        <v>4117468.18</v>
      </c>
      <c r="K174" s="2">
        <v>7088088.4500000002</v>
      </c>
      <c r="L174">
        <v>6.2</v>
      </c>
      <c r="M174">
        <v>56</v>
      </c>
      <c r="N174">
        <v>1605</v>
      </c>
      <c r="O174">
        <v>1032</v>
      </c>
      <c r="P174" t="s">
        <v>136</v>
      </c>
      <c r="Q174" t="s">
        <v>1190</v>
      </c>
      <c r="R174" s="2">
        <f>Table1[[#This Row],[Global_BoxOfficeUSD]]-Table1[[#This Row],[BudgetUSD]]</f>
        <v>22577346.219999999</v>
      </c>
      <c r="S174" s="15">
        <f>Table1[[#This Row],[Profit]]/Table1[[#This Row],[BudgetUSD]]</f>
        <v>2.6907143238698512</v>
      </c>
      <c r="T174" t="str">
        <f>IF(Table1[[#This Row],[ROI]]&gt;100%,"Hit","Flop")</f>
        <v>Hit</v>
      </c>
    </row>
    <row r="175" spans="1:20" x14ac:dyDescent="0.3">
      <c r="A175">
        <v>599</v>
      </c>
      <c r="B175" t="s">
        <v>1017</v>
      </c>
      <c r="C175" t="s">
        <v>45</v>
      </c>
      <c r="D175">
        <v>2018</v>
      </c>
      <c r="E175" s="1">
        <v>43138</v>
      </c>
      <c r="F175" t="s">
        <v>23</v>
      </c>
      <c r="G175" s="2">
        <v>7915071.0199999996</v>
      </c>
      <c r="H175" s="2">
        <v>16406287.59</v>
      </c>
      <c r="I175" s="2">
        <v>30319805.530000001</v>
      </c>
      <c r="J175" s="2">
        <v>2715158.9</v>
      </c>
      <c r="K175" s="2">
        <v>8282544.46</v>
      </c>
      <c r="L175">
        <v>4.5</v>
      </c>
      <c r="M175">
        <v>58</v>
      </c>
      <c r="N175">
        <v>2449</v>
      </c>
      <c r="O175">
        <v>237</v>
      </c>
      <c r="P175" t="s">
        <v>727</v>
      </c>
      <c r="Q175" t="s">
        <v>460</v>
      </c>
      <c r="R175" s="2">
        <f>Table1[[#This Row],[Global_BoxOfficeUSD]]-Table1[[#This Row],[BudgetUSD]]</f>
        <v>22404734.510000002</v>
      </c>
      <c r="S175" s="15">
        <f>Table1[[#This Row],[Profit]]/Table1[[#This Row],[BudgetUSD]]</f>
        <v>2.8306422587222726</v>
      </c>
      <c r="T175" t="str">
        <f>IF(Table1[[#This Row],[ROI]]&gt;100%,"Hit","Flop")</f>
        <v>Hit</v>
      </c>
    </row>
    <row r="176" spans="1:20" x14ac:dyDescent="0.3">
      <c r="A176">
        <v>915</v>
      </c>
      <c r="B176" t="s">
        <v>1325</v>
      </c>
      <c r="C176" t="s">
        <v>107</v>
      </c>
      <c r="D176">
        <v>1976</v>
      </c>
      <c r="E176" s="1">
        <v>27886</v>
      </c>
      <c r="F176" t="s">
        <v>642</v>
      </c>
      <c r="G176" s="2">
        <v>9266522.75</v>
      </c>
      <c r="H176" s="2">
        <v>17831644.449999999</v>
      </c>
      <c r="I176" s="2">
        <v>30314488.93</v>
      </c>
      <c r="J176" s="2">
        <v>2236592.12</v>
      </c>
      <c r="K176" s="2">
        <v>10249660.43</v>
      </c>
      <c r="L176">
        <v>5.6</v>
      </c>
      <c r="M176">
        <v>48</v>
      </c>
      <c r="N176">
        <v>1945</v>
      </c>
      <c r="O176">
        <v>147</v>
      </c>
      <c r="P176" t="s">
        <v>370</v>
      </c>
      <c r="Q176" t="s">
        <v>696</v>
      </c>
      <c r="R176" s="2">
        <f>Table1[[#This Row],[Global_BoxOfficeUSD]]-Table1[[#This Row],[BudgetUSD]]</f>
        <v>21047966.18</v>
      </c>
      <c r="S176" s="15">
        <f>Table1[[#This Row],[Profit]]/Table1[[#This Row],[BudgetUSD]]</f>
        <v>2.2713985329610291</v>
      </c>
      <c r="T176" t="str">
        <f>IF(Table1[[#This Row],[ROI]]&gt;100%,"Hit","Flop")</f>
        <v>Hit</v>
      </c>
    </row>
    <row r="177" spans="1:20" x14ac:dyDescent="0.3">
      <c r="A177">
        <v>630</v>
      </c>
      <c r="B177" t="s">
        <v>1048</v>
      </c>
      <c r="C177" t="s">
        <v>18</v>
      </c>
      <c r="D177">
        <v>1980</v>
      </c>
      <c r="E177" s="1">
        <v>29542</v>
      </c>
      <c r="F177" t="s">
        <v>23</v>
      </c>
      <c r="G177" s="2">
        <v>21796640.039999999</v>
      </c>
      <c r="H177" s="2">
        <v>14155163.59</v>
      </c>
      <c r="I177" s="2">
        <v>30220651.210000001</v>
      </c>
      <c r="J177" s="2">
        <v>3422885.42</v>
      </c>
      <c r="K177" s="2">
        <v>7212294.1200000001</v>
      </c>
      <c r="L177">
        <v>6.7</v>
      </c>
      <c r="M177">
        <v>66</v>
      </c>
      <c r="N177">
        <v>1608</v>
      </c>
      <c r="O177">
        <v>756</v>
      </c>
      <c r="P177" t="s">
        <v>337</v>
      </c>
      <c r="Q177" t="s">
        <v>391</v>
      </c>
      <c r="R177" s="2">
        <f>Table1[[#This Row],[Global_BoxOfficeUSD]]-Table1[[#This Row],[BudgetUSD]]</f>
        <v>8424011.1700000018</v>
      </c>
      <c r="S177" s="15">
        <f>Table1[[#This Row],[Profit]]/Table1[[#This Row],[BudgetUSD]]</f>
        <v>0.38648209790778387</v>
      </c>
      <c r="T177" t="str">
        <f>IF(Table1[[#This Row],[ROI]]&gt;100%,"Hit","Flop")</f>
        <v>Flop</v>
      </c>
    </row>
    <row r="178" spans="1:20" x14ac:dyDescent="0.3">
      <c r="A178">
        <v>459</v>
      </c>
      <c r="B178" t="s">
        <v>851</v>
      </c>
      <c r="C178" t="s">
        <v>18</v>
      </c>
      <c r="D178">
        <v>1967</v>
      </c>
      <c r="E178" s="1">
        <v>24769</v>
      </c>
      <c r="F178" t="s">
        <v>23</v>
      </c>
      <c r="G178" s="2">
        <v>6099129.1399999997</v>
      </c>
      <c r="H178" s="2">
        <v>20158127.73</v>
      </c>
      <c r="I178" s="2">
        <v>29907711.649999999</v>
      </c>
      <c r="J178" s="2">
        <v>3293060.42</v>
      </c>
      <c r="K178" s="2">
        <v>10482610.15</v>
      </c>
      <c r="L178">
        <v>7</v>
      </c>
      <c r="M178">
        <v>71</v>
      </c>
      <c r="N178">
        <v>9137</v>
      </c>
      <c r="O178">
        <v>3192</v>
      </c>
      <c r="P178" t="s">
        <v>675</v>
      </c>
      <c r="Q178" t="s">
        <v>705</v>
      </c>
      <c r="R178" s="2">
        <f>Table1[[#This Row],[Global_BoxOfficeUSD]]-Table1[[#This Row],[BudgetUSD]]</f>
        <v>23808582.509999998</v>
      </c>
      <c r="S178" s="15">
        <f>Table1[[#This Row],[Profit]]/Table1[[#This Row],[BudgetUSD]]</f>
        <v>3.9036036069241189</v>
      </c>
      <c r="T178" t="str">
        <f>IF(Table1[[#This Row],[ROI]]&gt;100%,"Hit","Flop")</f>
        <v>Hit</v>
      </c>
    </row>
    <row r="179" spans="1:20" x14ac:dyDescent="0.3">
      <c r="A179">
        <v>587</v>
      </c>
      <c r="B179" t="s">
        <v>1003</v>
      </c>
      <c r="C179" t="s">
        <v>67</v>
      </c>
      <c r="D179">
        <v>2011</v>
      </c>
      <c r="E179" s="1">
        <v>40851</v>
      </c>
      <c r="F179" t="s">
        <v>23</v>
      </c>
      <c r="G179" s="2">
        <v>19648975.129999999</v>
      </c>
      <c r="H179" s="2">
        <v>12288924.199999999</v>
      </c>
      <c r="I179" s="2">
        <v>29778444.379999999</v>
      </c>
      <c r="J179" s="2">
        <v>1404090.09</v>
      </c>
      <c r="K179" s="2">
        <v>5100806.0199999996</v>
      </c>
      <c r="L179">
        <v>6.2</v>
      </c>
      <c r="M179">
        <v>72</v>
      </c>
      <c r="N179">
        <v>11772</v>
      </c>
      <c r="O179">
        <v>106</v>
      </c>
      <c r="P179" t="s">
        <v>436</v>
      </c>
      <c r="Q179" t="s">
        <v>443</v>
      </c>
      <c r="R179" s="2">
        <f>Table1[[#This Row],[Global_BoxOfficeUSD]]-Table1[[#This Row],[BudgetUSD]]</f>
        <v>10129469.25</v>
      </c>
      <c r="S179" s="15">
        <f>Table1[[#This Row],[Profit]]/Table1[[#This Row],[BudgetUSD]]</f>
        <v>0.51552150598095858</v>
      </c>
      <c r="T179" t="str">
        <f>IF(Table1[[#This Row],[ROI]]&gt;100%,"Hit","Flop")</f>
        <v>Flop</v>
      </c>
    </row>
    <row r="180" spans="1:20" x14ac:dyDescent="0.3">
      <c r="A180">
        <v>889</v>
      </c>
      <c r="B180" t="s">
        <v>1304</v>
      </c>
      <c r="C180" t="s">
        <v>18</v>
      </c>
      <c r="D180">
        <v>1977</v>
      </c>
      <c r="E180" s="1">
        <v>28272</v>
      </c>
      <c r="F180" t="s">
        <v>23</v>
      </c>
      <c r="G180" s="2">
        <v>8527234.5299999993</v>
      </c>
      <c r="H180" s="2">
        <v>13908051.289999999</v>
      </c>
      <c r="I180" s="2">
        <v>29710796.09</v>
      </c>
      <c r="J180" s="2">
        <v>3065642.72</v>
      </c>
      <c r="K180" s="2">
        <v>6922978.3099999996</v>
      </c>
      <c r="L180">
        <v>6.3</v>
      </c>
      <c r="M180">
        <v>57</v>
      </c>
      <c r="N180">
        <v>1178</v>
      </c>
      <c r="O180">
        <v>651</v>
      </c>
      <c r="P180" t="s">
        <v>645</v>
      </c>
      <c r="Q180" t="s">
        <v>342</v>
      </c>
      <c r="R180" s="2">
        <f>Table1[[#This Row],[Global_BoxOfficeUSD]]-Table1[[#This Row],[BudgetUSD]]</f>
        <v>21183561.560000002</v>
      </c>
      <c r="S180" s="15">
        <f>Table1[[#This Row],[Profit]]/Table1[[#This Row],[BudgetUSD]]</f>
        <v>2.4842241040132391</v>
      </c>
      <c r="T180" t="str">
        <f>IF(Table1[[#This Row],[ROI]]&gt;100%,"Hit","Flop")</f>
        <v>Hit</v>
      </c>
    </row>
    <row r="181" spans="1:20" x14ac:dyDescent="0.3">
      <c r="A181">
        <v>54</v>
      </c>
      <c r="B181" t="s">
        <v>179</v>
      </c>
      <c r="C181" t="s">
        <v>18</v>
      </c>
      <c r="D181">
        <v>1998</v>
      </c>
      <c r="E181" s="1">
        <v>36121</v>
      </c>
      <c r="F181" t="s">
        <v>34</v>
      </c>
      <c r="G181" s="2">
        <v>24436354.190000001</v>
      </c>
      <c r="H181" s="2">
        <v>15268989.18</v>
      </c>
      <c r="I181" s="2">
        <v>29551770.5</v>
      </c>
      <c r="J181" s="2">
        <v>2599307.41</v>
      </c>
      <c r="K181" s="2">
        <v>8153438.4199999999</v>
      </c>
      <c r="L181">
        <v>7.9</v>
      </c>
      <c r="M181">
        <v>80</v>
      </c>
      <c r="N181">
        <v>89519</v>
      </c>
      <c r="O181">
        <v>15686</v>
      </c>
      <c r="P181" t="s">
        <v>146</v>
      </c>
      <c r="Q181" t="s">
        <v>180</v>
      </c>
      <c r="R181" s="2">
        <f>Table1[[#This Row],[Global_BoxOfficeUSD]]-Table1[[#This Row],[BudgetUSD]]</f>
        <v>5115416.3099999987</v>
      </c>
      <c r="S181" s="15">
        <f>Table1[[#This Row],[Profit]]/Table1[[#This Row],[BudgetUSD]]</f>
        <v>0.20933631384723345</v>
      </c>
      <c r="T181" t="str">
        <f>IF(Table1[[#This Row],[ROI]]&gt;100%,"Hit","Flop")</f>
        <v>Flop</v>
      </c>
    </row>
    <row r="182" spans="1:20" x14ac:dyDescent="0.3">
      <c r="A182">
        <v>393</v>
      </c>
      <c r="B182" t="s">
        <v>621</v>
      </c>
      <c r="C182" t="s">
        <v>67</v>
      </c>
      <c r="D182">
        <v>2007</v>
      </c>
      <c r="E182" s="1">
        <v>39205</v>
      </c>
      <c r="F182" t="s">
        <v>23</v>
      </c>
      <c r="G182" s="2">
        <v>8485817.8599999994</v>
      </c>
      <c r="H182" s="2">
        <v>12705093.85</v>
      </c>
      <c r="I182" s="2">
        <v>29316728.27</v>
      </c>
      <c r="J182" s="2">
        <v>2030080.59</v>
      </c>
      <c r="K182" s="2">
        <v>7068634.1699999999</v>
      </c>
      <c r="L182">
        <v>4.9000000000000004</v>
      </c>
      <c r="M182">
        <v>32</v>
      </c>
      <c r="N182">
        <v>2145</v>
      </c>
      <c r="O182">
        <v>684</v>
      </c>
      <c r="P182" t="s">
        <v>117</v>
      </c>
      <c r="Q182" t="s">
        <v>198</v>
      </c>
      <c r="R182" s="2">
        <f>Table1[[#This Row],[Global_BoxOfficeUSD]]-Table1[[#This Row],[BudgetUSD]]</f>
        <v>20830910.41</v>
      </c>
      <c r="S182" s="15">
        <f>Table1[[#This Row],[Profit]]/Table1[[#This Row],[BudgetUSD]]</f>
        <v>2.4547911295847684</v>
      </c>
      <c r="T182" t="str">
        <f>IF(Table1[[#This Row],[ROI]]&gt;100%,"Hit","Flop")</f>
        <v>Hit</v>
      </c>
    </row>
    <row r="183" spans="1:20" x14ac:dyDescent="0.3">
      <c r="A183">
        <v>201</v>
      </c>
      <c r="B183" t="s">
        <v>491</v>
      </c>
      <c r="C183" t="s">
        <v>38</v>
      </c>
      <c r="D183">
        <v>1973</v>
      </c>
      <c r="E183" s="1">
        <v>26820</v>
      </c>
      <c r="F183" t="s">
        <v>267</v>
      </c>
      <c r="G183" s="2">
        <v>7002704.8600000003</v>
      </c>
      <c r="H183" s="2">
        <v>17569489.809999999</v>
      </c>
      <c r="I183" s="2">
        <v>28723060.77</v>
      </c>
      <c r="J183" s="2">
        <v>4047687.79</v>
      </c>
      <c r="K183" s="2">
        <v>10389432.640000001</v>
      </c>
      <c r="L183">
        <v>6.1</v>
      </c>
      <c r="M183">
        <v>50</v>
      </c>
      <c r="N183">
        <v>6013</v>
      </c>
      <c r="O183">
        <v>1956</v>
      </c>
      <c r="P183" t="s">
        <v>393</v>
      </c>
      <c r="Q183" t="s">
        <v>492</v>
      </c>
      <c r="R183" s="2">
        <f>Table1[[#This Row],[Global_BoxOfficeUSD]]-Table1[[#This Row],[BudgetUSD]]</f>
        <v>21720355.91</v>
      </c>
      <c r="S183" s="15">
        <f>Table1[[#This Row],[Profit]]/Table1[[#This Row],[BudgetUSD]]</f>
        <v>3.1017094600214237</v>
      </c>
      <c r="T183" t="str">
        <f>IF(Table1[[#This Row],[ROI]]&gt;100%,"Hit","Flop")</f>
        <v>Hit</v>
      </c>
    </row>
    <row r="184" spans="1:20" x14ac:dyDescent="0.3">
      <c r="A184">
        <v>402</v>
      </c>
      <c r="B184" t="s">
        <v>776</v>
      </c>
      <c r="C184" t="s">
        <v>33</v>
      </c>
      <c r="D184">
        <v>1950</v>
      </c>
      <c r="E184" s="1">
        <v>18350</v>
      </c>
      <c r="F184" t="s">
        <v>249</v>
      </c>
      <c r="G184" s="2">
        <v>6034503.6699999999</v>
      </c>
      <c r="H184" s="2">
        <v>17819212.120000001</v>
      </c>
      <c r="I184" s="2">
        <v>28450892.84</v>
      </c>
      <c r="J184" s="2">
        <v>4357652.0199999996</v>
      </c>
      <c r="K184" s="2">
        <v>10138388.43</v>
      </c>
      <c r="L184">
        <v>6.8</v>
      </c>
      <c r="M184">
        <v>96</v>
      </c>
      <c r="N184">
        <v>40838</v>
      </c>
      <c r="O184">
        <v>1352</v>
      </c>
      <c r="P184" t="s">
        <v>396</v>
      </c>
      <c r="Q184" t="s">
        <v>637</v>
      </c>
      <c r="R184" s="2">
        <f>Table1[[#This Row],[Global_BoxOfficeUSD]]-Table1[[#This Row],[BudgetUSD]]</f>
        <v>22416389.170000002</v>
      </c>
      <c r="S184" s="15">
        <f>Table1[[#This Row],[Profit]]/Table1[[#This Row],[BudgetUSD]]</f>
        <v>3.7147030469864646</v>
      </c>
      <c r="T184" t="str">
        <f>IF(Table1[[#This Row],[ROI]]&gt;100%,"Hit","Flop")</f>
        <v>Hit</v>
      </c>
    </row>
    <row r="185" spans="1:20" x14ac:dyDescent="0.3">
      <c r="A185">
        <v>222</v>
      </c>
      <c r="B185" t="s">
        <v>527</v>
      </c>
      <c r="C185" t="s">
        <v>18</v>
      </c>
      <c r="D185">
        <v>1959</v>
      </c>
      <c r="E185" s="1">
        <v>21852</v>
      </c>
      <c r="F185" t="s">
        <v>23</v>
      </c>
      <c r="G185" s="2">
        <v>6325261.2599999998</v>
      </c>
      <c r="H185" s="2">
        <v>12220292.050000001</v>
      </c>
      <c r="I185" s="2">
        <v>28415809.120000001</v>
      </c>
      <c r="J185" s="2">
        <v>3114746.7</v>
      </c>
      <c r="K185" s="2">
        <v>6833228.1699999999</v>
      </c>
      <c r="L185">
        <v>5.3</v>
      </c>
      <c r="M185">
        <v>56</v>
      </c>
      <c r="N185">
        <v>7816</v>
      </c>
      <c r="O185">
        <v>82</v>
      </c>
      <c r="P185" t="s">
        <v>380</v>
      </c>
      <c r="Q185" t="s">
        <v>528</v>
      </c>
      <c r="R185" s="2">
        <f>Table1[[#This Row],[Global_BoxOfficeUSD]]-Table1[[#This Row],[BudgetUSD]]</f>
        <v>22090547.859999999</v>
      </c>
      <c r="S185" s="15">
        <f>Table1[[#This Row],[Profit]]/Table1[[#This Row],[BudgetUSD]]</f>
        <v>3.492432478591406</v>
      </c>
      <c r="T185" t="str">
        <f>IF(Table1[[#This Row],[ROI]]&gt;100%,"Hit","Flop")</f>
        <v>Hit</v>
      </c>
    </row>
    <row r="186" spans="1:20" x14ac:dyDescent="0.3">
      <c r="A186">
        <v>963</v>
      </c>
      <c r="B186" t="s">
        <v>1373</v>
      </c>
      <c r="C186" t="s">
        <v>38</v>
      </c>
      <c r="D186">
        <v>2023</v>
      </c>
      <c r="E186" s="1">
        <v>45272</v>
      </c>
      <c r="F186" t="s">
        <v>23</v>
      </c>
      <c r="G186" s="2">
        <v>6251685.5700000003</v>
      </c>
      <c r="H186" s="2">
        <v>16278303.43</v>
      </c>
      <c r="I186" s="2">
        <v>28224006.670000002</v>
      </c>
      <c r="J186" s="2">
        <v>3507144.69</v>
      </c>
      <c r="K186" s="2">
        <v>8636092.6600000001</v>
      </c>
      <c r="L186">
        <v>5.7</v>
      </c>
      <c r="M186">
        <v>70</v>
      </c>
      <c r="N186">
        <v>2040</v>
      </c>
      <c r="O186">
        <v>346</v>
      </c>
      <c r="P186" t="s">
        <v>264</v>
      </c>
      <c r="Q186" t="s">
        <v>952</v>
      </c>
      <c r="R186" s="2">
        <f>Table1[[#This Row],[Global_BoxOfficeUSD]]-Table1[[#This Row],[BudgetUSD]]</f>
        <v>21972321.100000001</v>
      </c>
      <c r="S186" s="15">
        <f>Table1[[#This Row],[Profit]]/Table1[[#This Row],[BudgetUSD]]</f>
        <v>3.5146235129672396</v>
      </c>
      <c r="T186" t="str">
        <f>IF(Table1[[#This Row],[ROI]]&gt;100%,"Hit","Flop")</f>
        <v>Hit</v>
      </c>
    </row>
    <row r="187" spans="1:20" x14ac:dyDescent="0.3">
      <c r="A187">
        <v>842</v>
      </c>
      <c r="B187" t="s">
        <v>1260</v>
      </c>
      <c r="C187" t="s">
        <v>18</v>
      </c>
      <c r="D187">
        <v>1997</v>
      </c>
      <c r="E187" s="1">
        <v>35494</v>
      </c>
      <c r="F187" t="s">
        <v>23</v>
      </c>
      <c r="G187" s="2">
        <v>15662139.42</v>
      </c>
      <c r="H187" s="2">
        <v>18786953.199999999</v>
      </c>
      <c r="I187" s="2">
        <v>28185527.82</v>
      </c>
      <c r="J187" s="2">
        <v>3042474.37</v>
      </c>
      <c r="K187" s="2">
        <v>8390903.1999999993</v>
      </c>
      <c r="L187">
        <v>5.6</v>
      </c>
      <c r="M187">
        <v>62</v>
      </c>
      <c r="N187">
        <v>8181</v>
      </c>
      <c r="O187">
        <v>202</v>
      </c>
      <c r="P187" t="s">
        <v>27</v>
      </c>
      <c r="Q187" t="s">
        <v>47</v>
      </c>
      <c r="R187" s="2">
        <f>Table1[[#This Row],[Global_BoxOfficeUSD]]-Table1[[#This Row],[BudgetUSD]]</f>
        <v>12523388.4</v>
      </c>
      <c r="S187" s="15">
        <f>Table1[[#This Row],[Profit]]/Table1[[#This Row],[BudgetUSD]]</f>
        <v>0.79959627890989626</v>
      </c>
      <c r="T187" t="str">
        <f>IF(Table1[[#This Row],[ROI]]&gt;100%,"Hit","Flop")</f>
        <v>Flop</v>
      </c>
    </row>
    <row r="188" spans="1:20" x14ac:dyDescent="0.3">
      <c r="A188">
        <v>505</v>
      </c>
      <c r="B188" t="s">
        <v>912</v>
      </c>
      <c r="C188" t="s">
        <v>18</v>
      </c>
      <c r="D188">
        <v>2015</v>
      </c>
      <c r="E188" s="1">
        <v>42183</v>
      </c>
      <c r="F188" t="s">
        <v>249</v>
      </c>
      <c r="G188" s="2">
        <v>6550007.3899999997</v>
      </c>
      <c r="H188" s="2">
        <v>13712034.390000001</v>
      </c>
      <c r="I188" s="2">
        <v>28069388.620000001</v>
      </c>
      <c r="J188" s="2">
        <v>3765354.63</v>
      </c>
      <c r="K188" s="2">
        <v>5547159.2400000002</v>
      </c>
      <c r="L188">
        <v>6.4</v>
      </c>
      <c r="M188">
        <v>62</v>
      </c>
      <c r="N188">
        <v>5181</v>
      </c>
      <c r="O188">
        <v>50</v>
      </c>
      <c r="P188" t="s">
        <v>200</v>
      </c>
      <c r="Q188" t="s">
        <v>731</v>
      </c>
      <c r="R188" s="2">
        <f>Table1[[#This Row],[Global_BoxOfficeUSD]]-Table1[[#This Row],[BudgetUSD]]</f>
        <v>21519381.23</v>
      </c>
      <c r="S188" s="15">
        <f>Table1[[#This Row],[Profit]]/Table1[[#This Row],[BudgetUSD]]</f>
        <v>3.2853980077723244</v>
      </c>
      <c r="T188" t="str">
        <f>IF(Table1[[#This Row],[ROI]]&gt;100%,"Hit","Flop")</f>
        <v>Hit</v>
      </c>
    </row>
    <row r="189" spans="1:20" x14ac:dyDescent="0.3">
      <c r="A189">
        <v>385</v>
      </c>
      <c r="B189" t="s">
        <v>759</v>
      </c>
      <c r="C189" t="s">
        <v>38</v>
      </c>
      <c r="D189">
        <v>2008</v>
      </c>
      <c r="E189" s="1">
        <v>39548</v>
      </c>
      <c r="F189" t="s">
        <v>23</v>
      </c>
      <c r="G189" s="2">
        <v>6746679.1600000001</v>
      </c>
      <c r="H189" s="2">
        <v>15452683.23</v>
      </c>
      <c r="I189" s="2">
        <v>27974009.190000001</v>
      </c>
      <c r="J189" s="2">
        <v>2756247.99</v>
      </c>
      <c r="K189" s="2">
        <v>7664345.9699999997</v>
      </c>
      <c r="L189">
        <v>5</v>
      </c>
      <c r="M189">
        <v>65</v>
      </c>
      <c r="N189">
        <v>271</v>
      </c>
      <c r="O189">
        <v>207</v>
      </c>
      <c r="P189" t="s">
        <v>49</v>
      </c>
      <c r="Q189" t="s">
        <v>324</v>
      </c>
      <c r="R189" s="2">
        <f>Table1[[#This Row],[Global_BoxOfficeUSD]]-Table1[[#This Row],[BudgetUSD]]</f>
        <v>21227330.030000001</v>
      </c>
      <c r="S189" s="15">
        <f>Table1[[#This Row],[Profit]]/Table1[[#This Row],[BudgetUSD]]</f>
        <v>3.1463375575725467</v>
      </c>
      <c r="T189" t="str">
        <f>IF(Table1[[#This Row],[ROI]]&gt;100%,"Hit","Flop")</f>
        <v>Hit</v>
      </c>
    </row>
    <row r="190" spans="1:20" x14ac:dyDescent="0.3">
      <c r="A190">
        <v>382</v>
      </c>
      <c r="B190" t="s">
        <v>753</v>
      </c>
      <c r="C190" t="s">
        <v>107</v>
      </c>
      <c r="D190">
        <v>2020</v>
      </c>
      <c r="E190" s="1">
        <v>43880</v>
      </c>
      <c r="F190" t="s">
        <v>23</v>
      </c>
      <c r="G190" s="2">
        <v>12811370.74</v>
      </c>
      <c r="H190" s="2">
        <v>16136950.25</v>
      </c>
      <c r="I190" s="2">
        <v>27776457.32</v>
      </c>
      <c r="J190" s="2">
        <v>2901398.84</v>
      </c>
      <c r="K190" s="2">
        <v>8043616.8499999996</v>
      </c>
      <c r="L190">
        <v>6</v>
      </c>
      <c r="M190">
        <v>53</v>
      </c>
      <c r="N190">
        <v>8192</v>
      </c>
      <c r="O190">
        <v>7379</v>
      </c>
      <c r="P190" t="s">
        <v>416</v>
      </c>
      <c r="Q190" t="s">
        <v>754</v>
      </c>
      <c r="R190" s="2">
        <f>Table1[[#This Row],[Global_BoxOfficeUSD]]-Table1[[#This Row],[BudgetUSD]]</f>
        <v>14965086.58</v>
      </c>
      <c r="S190" s="15">
        <f>Table1[[#This Row],[Profit]]/Table1[[#This Row],[BudgetUSD]]</f>
        <v>1.168109711576421</v>
      </c>
      <c r="T190" t="str">
        <f>IF(Table1[[#This Row],[ROI]]&gt;100%,"Hit","Flop")</f>
        <v>Hit</v>
      </c>
    </row>
    <row r="191" spans="1:20" x14ac:dyDescent="0.3">
      <c r="A191">
        <v>897</v>
      </c>
      <c r="B191" t="s">
        <v>1310</v>
      </c>
      <c r="C191" t="s">
        <v>18</v>
      </c>
      <c r="D191">
        <v>2011</v>
      </c>
      <c r="E191" s="1">
        <v>40876</v>
      </c>
      <c r="F191" t="s">
        <v>139</v>
      </c>
      <c r="G191" s="2">
        <v>22867580.91</v>
      </c>
      <c r="H191" s="2">
        <v>12469277.07</v>
      </c>
      <c r="I191" s="2">
        <v>27652060.030000001</v>
      </c>
      <c r="J191" s="2">
        <v>1709995.58</v>
      </c>
      <c r="K191" s="2">
        <v>6650998.4900000002</v>
      </c>
      <c r="L191">
        <v>8.1999999999999993</v>
      </c>
      <c r="M191">
        <v>81</v>
      </c>
      <c r="N191">
        <v>626</v>
      </c>
      <c r="O191">
        <v>996</v>
      </c>
      <c r="P191" t="s">
        <v>370</v>
      </c>
      <c r="Q191" t="s">
        <v>775</v>
      </c>
      <c r="R191" s="2">
        <f>Table1[[#This Row],[Global_BoxOfficeUSD]]-Table1[[#This Row],[BudgetUSD]]</f>
        <v>4784479.120000001</v>
      </c>
      <c r="S191" s="15">
        <f>Table1[[#This Row],[Profit]]/Table1[[#This Row],[BudgetUSD]]</f>
        <v>0.20922541561480806</v>
      </c>
      <c r="T191" t="str">
        <f>IF(Table1[[#This Row],[ROI]]&gt;100%,"Hit","Flop")</f>
        <v>Flop</v>
      </c>
    </row>
    <row r="192" spans="1:20" x14ac:dyDescent="0.3">
      <c r="A192">
        <v>310</v>
      </c>
      <c r="B192" t="s">
        <v>655</v>
      </c>
      <c r="C192" t="s">
        <v>67</v>
      </c>
      <c r="D192">
        <v>2021</v>
      </c>
      <c r="E192" s="1">
        <v>44316</v>
      </c>
      <c r="F192" t="s">
        <v>23</v>
      </c>
      <c r="G192" s="2">
        <v>16321771.83</v>
      </c>
      <c r="H192" s="2">
        <v>14064784.119999999</v>
      </c>
      <c r="I192" s="2">
        <v>27358737.390000001</v>
      </c>
      <c r="J192" s="2">
        <v>3334913.42</v>
      </c>
      <c r="K192" s="2">
        <v>7118635.8099999996</v>
      </c>
      <c r="L192">
        <v>4.0999999999999996</v>
      </c>
      <c r="M192">
        <v>53</v>
      </c>
      <c r="N192">
        <v>850</v>
      </c>
      <c r="O192">
        <v>2038</v>
      </c>
      <c r="P192" t="s">
        <v>216</v>
      </c>
      <c r="Q192" t="s">
        <v>165</v>
      </c>
      <c r="R192" s="2">
        <f>Table1[[#This Row],[Global_BoxOfficeUSD]]-Table1[[#This Row],[BudgetUSD]]</f>
        <v>11036965.560000001</v>
      </c>
      <c r="S192" s="15">
        <f>Table1[[#This Row],[Profit]]/Table1[[#This Row],[BudgetUSD]]</f>
        <v>0.67621123949997042</v>
      </c>
      <c r="T192" t="str">
        <f>IF(Table1[[#This Row],[ROI]]&gt;100%,"Hit","Flop")</f>
        <v>Flop</v>
      </c>
    </row>
    <row r="193" spans="1:20" x14ac:dyDescent="0.3">
      <c r="A193">
        <v>659</v>
      </c>
      <c r="B193" t="s">
        <v>1079</v>
      </c>
      <c r="C193" t="s">
        <v>45</v>
      </c>
      <c r="D193">
        <v>1958</v>
      </c>
      <c r="E193" s="1">
        <v>21314</v>
      </c>
      <c r="F193" t="s">
        <v>23</v>
      </c>
      <c r="G193" s="2">
        <v>22854581.280000001</v>
      </c>
      <c r="H193" s="2">
        <v>17606875.059999999</v>
      </c>
      <c r="I193" s="2">
        <v>27349701.870000001</v>
      </c>
      <c r="J193" s="2">
        <v>3602063.02</v>
      </c>
      <c r="K193" s="2">
        <v>10387652.609999999</v>
      </c>
      <c r="L193">
        <v>7</v>
      </c>
      <c r="M193">
        <v>72</v>
      </c>
      <c r="N193">
        <v>3122</v>
      </c>
      <c r="O193">
        <v>50</v>
      </c>
      <c r="P193" t="s">
        <v>573</v>
      </c>
      <c r="Q193" t="s">
        <v>47</v>
      </c>
      <c r="R193" s="2">
        <f>Table1[[#This Row],[Global_BoxOfficeUSD]]-Table1[[#This Row],[BudgetUSD]]</f>
        <v>4495120.59</v>
      </c>
      <c r="S193" s="15">
        <f>Table1[[#This Row],[Profit]]/Table1[[#This Row],[BudgetUSD]]</f>
        <v>0.19668356794327582</v>
      </c>
      <c r="T193" t="str">
        <f>IF(Table1[[#This Row],[ROI]]&gt;100%,"Hit","Flop")</f>
        <v>Flop</v>
      </c>
    </row>
    <row r="194" spans="1:20" x14ac:dyDescent="0.3">
      <c r="A194">
        <v>404</v>
      </c>
      <c r="B194" s="14" t="s">
        <v>779</v>
      </c>
      <c r="C194" t="s">
        <v>86</v>
      </c>
      <c r="D194">
        <v>1976</v>
      </c>
      <c r="E194" s="1">
        <v>28092</v>
      </c>
      <c r="F194" t="s">
        <v>23</v>
      </c>
      <c r="G194" s="2">
        <v>8768846.25</v>
      </c>
      <c r="H194" s="2">
        <v>13427155.17</v>
      </c>
      <c r="I194" s="2">
        <v>27339812.390000001</v>
      </c>
      <c r="J194" s="2">
        <v>2045907.62</v>
      </c>
      <c r="K194" s="2">
        <v>6466113.6100000003</v>
      </c>
      <c r="L194">
        <v>1.9</v>
      </c>
      <c r="M194">
        <v>15</v>
      </c>
      <c r="N194">
        <v>1824</v>
      </c>
      <c r="O194">
        <v>913</v>
      </c>
      <c r="P194" t="s">
        <v>237</v>
      </c>
      <c r="Q194" t="s">
        <v>780</v>
      </c>
      <c r="R194" s="2">
        <f>Table1[[#This Row],[Global_BoxOfficeUSD]]-Table1[[#This Row],[BudgetUSD]]</f>
        <v>18570966.140000001</v>
      </c>
      <c r="S194" s="15">
        <f>Table1[[#This Row],[Profit]]/Table1[[#This Row],[BudgetUSD]]</f>
        <v>2.1178346170683517</v>
      </c>
      <c r="T194" t="str">
        <f>IF(Table1[[#This Row],[ROI]]&gt;100%,"Hit","Flop")</f>
        <v>Hit</v>
      </c>
    </row>
    <row r="195" spans="1:20" x14ac:dyDescent="0.3">
      <c r="A195">
        <v>912</v>
      </c>
      <c r="B195" t="s">
        <v>1322</v>
      </c>
      <c r="C195" t="s">
        <v>67</v>
      </c>
      <c r="D195">
        <v>2002</v>
      </c>
      <c r="E195" s="1">
        <v>37519</v>
      </c>
      <c r="F195" t="s">
        <v>23</v>
      </c>
      <c r="G195" s="2">
        <v>6872927.4900000002</v>
      </c>
      <c r="H195" s="2">
        <v>15165983.300000001</v>
      </c>
      <c r="I195" s="2">
        <v>27029512.280000001</v>
      </c>
      <c r="J195" s="2">
        <v>2126723.23</v>
      </c>
      <c r="K195" s="2">
        <v>8578880.1199999992</v>
      </c>
      <c r="L195">
        <v>6.6</v>
      </c>
      <c r="M195">
        <v>68</v>
      </c>
      <c r="N195">
        <v>2688</v>
      </c>
      <c r="O195">
        <v>1029</v>
      </c>
      <c r="P195" t="s">
        <v>307</v>
      </c>
      <c r="Q195" t="s">
        <v>1047</v>
      </c>
      <c r="R195" s="2">
        <f>Table1[[#This Row],[Global_BoxOfficeUSD]]-Table1[[#This Row],[BudgetUSD]]</f>
        <v>20156584.789999999</v>
      </c>
      <c r="S195" s="15">
        <f>Table1[[#This Row],[Profit]]/Table1[[#This Row],[BudgetUSD]]</f>
        <v>2.9327509739230493</v>
      </c>
      <c r="T195" t="str">
        <f>IF(Table1[[#This Row],[ROI]]&gt;100%,"Hit","Flop")</f>
        <v>Hit</v>
      </c>
    </row>
    <row r="196" spans="1:20" x14ac:dyDescent="0.3">
      <c r="A196">
        <v>551</v>
      </c>
      <c r="B196" t="s">
        <v>962</v>
      </c>
      <c r="C196" t="s">
        <v>86</v>
      </c>
      <c r="D196">
        <v>2001</v>
      </c>
      <c r="E196" s="1">
        <v>37149</v>
      </c>
      <c r="F196" t="s">
        <v>23</v>
      </c>
      <c r="G196" s="2">
        <v>6458624.0999999996</v>
      </c>
      <c r="H196" s="2">
        <v>17633213.129999999</v>
      </c>
      <c r="I196" s="2">
        <v>27023846.670000002</v>
      </c>
      <c r="J196" s="2">
        <v>4794894.63</v>
      </c>
      <c r="K196" s="2">
        <v>7263977.5599999996</v>
      </c>
      <c r="L196">
        <v>6</v>
      </c>
      <c r="M196">
        <v>64</v>
      </c>
      <c r="N196">
        <v>1126</v>
      </c>
      <c r="O196">
        <v>757</v>
      </c>
      <c r="P196" t="s">
        <v>769</v>
      </c>
      <c r="Q196" t="s">
        <v>222</v>
      </c>
      <c r="R196" s="2">
        <f>Table1[[#This Row],[Global_BoxOfficeUSD]]-Table1[[#This Row],[BudgetUSD]]</f>
        <v>20565222.57</v>
      </c>
      <c r="S196" s="15">
        <f>Table1[[#This Row],[Profit]]/Table1[[#This Row],[BudgetUSD]]</f>
        <v>3.1841491704092211</v>
      </c>
      <c r="T196" t="str">
        <f>IF(Table1[[#This Row],[ROI]]&gt;100%,"Hit","Flop")</f>
        <v>Hit</v>
      </c>
    </row>
    <row r="197" spans="1:20" x14ac:dyDescent="0.3">
      <c r="A197">
        <v>20</v>
      </c>
      <c r="B197" t="s">
        <v>82</v>
      </c>
      <c r="C197" t="s">
        <v>18</v>
      </c>
      <c r="D197">
        <v>2004</v>
      </c>
      <c r="E197" s="1">
        <v>38082</v>
      </c>
      <c r="F197" t="s">
        <v>23</v>
      </c>
      <c r="G197" s="2">
        <v>16757088.880000001</v>
      </c>
      <c r="H197" s="2">
        <v>13567813.68</v>
      </c>
      <c r="I197" s="2">
        <v>26958812.719999999</v>
      </c>
      <c r="J197" s="2">
        <v>1496912.68</v>
      </c>
      <c r="K197" s="2">
        <v>6550068.04</v>
      </c>
      <c r="L197">
        <v>7.4</v>
      </c>
      <c r="M197">
        <v>80</v>
      </c>
      <c r="N197">
        <v>594</v>
      </c>
      <c r="O197">
        <v>136</v>
      </c>
      <c r="P197" t="s">
        <v>83</v>
      </c>
      <c r="Q197" t="s">
        <v>84</v>
      </c>
      <c r="R197" s="2">
        <f>Table1[[#This Row],[Global_BoxOfficeUSD]]-Table1[[#This Row],[BudgetUSD]]</f>
        <v>10201723.839999998</v>
      </c>
      <c r="S197" s="15">
        <f>Table1[[#This Row],[Profit]]/Table1[[#This Row],[BudgetUSD]]</f>
        <v>0.6088004851592097</v>
      </c>
      <c r="T197" t="str">
        <f>IF(Table1[[#This Row],[ROI]]&gt;100%,"Hit","Flop")</f>
        <v>Flop</v>
      </c>
    </row>
    <row r="198" spans="1:20" x14ac:dyDescent="0.3">
      <c r="A198">
        <v>983</v>
      </c>
      <c r="B198" t="s">
        <v>1393</v>
      </c>
      <c r="C198" t="s">
        <v>38</v>
      </c>
      <c r="D198">
        <v>2020</v>
      </c>
      <c r="E198" s="1">
        <v>44070</v>
      </c>
      <c r="F198" t="s">
        <v>132</v>
      </c>
      <c r="G198" s="2">
        <v>8584817.4499999993</v>
      </c>
      <c r="H198" s="2">
        <v>14544099.23</v>
      </c>
      <c r="I198" s="2">
        <v>26933945.399999999</v>
      </c>
      <c r="J198" s="2">
        <v>3160160.18</v>
      </c>
      <c r="K198" s="2">
        <v>8703003.2400000002</v>
      </c>
      <c r="L198">
        <v>7.2</v>
      </c>
      <c r="M198">
        <v>84</v>
      </c>
      <c r="N198">
        <v>710</v>
      </c>
      <c r="O198">
        <v>12031</v>
      </c>
      <c r="P198" t="s">
        <v>351</v>
      </c>
      <c r="Q198" t="s">
        <v>159</v>
      </c>
      <c r="R198" s="2">
        <f>Table1[[#This Row],[Global_BoxOfficeUSD]]-Table1[[#This Row],[BudgetUSD]]</f>
        <v>18349127.949999999</v>
      </c>
      <c r="S198" s="15">
        <f>Table1[[#This Row],[Profit]]/Table1[[#This Row],[BudgetUSD]]</f>
        <v>2.1373929098515658</v>
      </c>
      <c r="T198" t="str">
        <f>IF(Table1[[#This Row],[ROI]]&gt;100%,"Hit","Flop")</f>
        <v>Hit</v>
      </c>
    </row>
    <row r="199" spans="1:20" x14ac:dyDescent="0.3">
      <c r="A199">
        <v>106</v>
      </c>
      <c r="B199" t="s">
        <v>298</v>
      </c>
      <c r="C199" t="s">
        <v>77</v>
      </c>
      <c r="D199">
        <v>1992</v>
      </c>
      <c r="E199" s="1">
        <v>33918</v>
      </c>
      <c r="F199" t="s">
        <v>23</v>
      </c>
      <c r="G199" s="2">
        <v>7034189.1299999999</v>
      </c>
      <c r="H199" s="2">
        <v>12141879.41</v>
      </c>
      <c r="I199" s="2">
        <v>26903394.870000001</v>
      </c>
      <c r="J199" s="2">
        <v>3054571.32</v>
      </c>
      <c r="K199" s="2">
        <v>6465379.5599999996</v>
      </c>
      <c r="L199">
        <v>9</v>
      </c>
      <c r="M199">
        <v>78</v>
      </c>
      <c r="N199">
        <v>4973</v>
      </c>
      <c r="O199">
        <v>360</v>
      </c>
      <c r="P199" t="s">
        <v>299</v>
      </c>
      <c r="Q199" t="s">
        <v>300</v>
      </c>
      <c r="R199" s="2">
        <f>Table1[[#This Row],[Global_BoxOfficeUSD]]-Table1[[#This Row],[BudgetUSD]]</f>
        <v>19869205.740000002</v>
      </c>
      <c r="S199" s="15">
        <f>Table1[[#This Row],[Profit]]/Table1[[#This Row],[BudgetUSD]]</f>
        <v>2.8246618583597853</v>
      </c>
      <c r="T199" t="str">
        <f>IF(Table1[[#This Row],[ROI]]&gt;100%,"Hit","Flop")</f>
        <v>Hit</v>
      </c>
    </row>
    <row r="200" spans="1:20" x14ac:dyDescent="0.3">
      <c r="A200">
        <v>491</v>
      </c>
      <c r="B200" t="s">
        <v>893</v>
      </c>
      <c r="C200" t="s">
        <v>33</v>
      </c>
      <c r="D200">
        <v>1990</v>
      </c>
      <c r="E200" s="1">
        <v>33126</v>
      </c>
      <c r="F200" t="s">
        <v>249</v>
      </c>
      <c r="G200" s="2">
        <v>5717262.6200000001</v>
      </c>
      <c r="H200" s="2">
        <v>11325320.310000001</v>
      </c>
      <c r="I200" s="2">
        <v>26676545.920000002</v>
      </c>
      <c r="J200" s="2">
        <v>2520274.88</v>
      </c>
      <c r="K200" s="2">
        <v>4976875.17</v>
      </c>
      <c r="L200">
        <v>6.6</v>
      </c>
      <c r="M200">
        <v>51</v>
      </c>
      <c r="N200">
        <v>6460</v>
      </c>
      <c r="O200">
        <v>50</v>
      </c>
      <c r="P200" t="s">
        <v>27</v>
      </c>
      <c r="Q200" t="s">
        <v>819</v>
      </c>
      <c r="R200" s="2">
        <f>Table1[[#This Row],[Global_BoxOfficeUSD]]-Table1[[#This Row],[BudgetUSD]]</f>
        <v>20959283.300000001</v>
      </c>
      <c r="S200" s="15">
        <f>Table1[[#This Row],[Profit]]/Table1[[#This Row],[BudgetUSD]]</f>
        <v>3.6659647619965376</v>
      </c>
      <c r="T200" t="str">
        <f>IF(Table1[[#This Row],[ROI]]&gt;100%,"Hit","Flop")</f>
        <v>Hit</v>
      </c>
    </row>
    <row r="201" spans="1:20" x14ac:dyDescent="0.3">
      <c r="A201">
        <v>328</v>
      </c>
      <c r="B201" t="s">
        <v>677</v>
      </c>
      <c r="C201" t="s">
        <v>45</v>
      </c>
      <c r="D201">
        <v>1966</v>
      </c>
      <c r="E201" s="1">
        <v>24267</v>
      </c>
      <c r="F201" t="s">
        <v>23</v>
      </c>
      <c r="G201" s="2">
        <v>10810782.98</v>
      </c>
      <c r="H201" s="2">
        <v>15907320.91</v>
      </c>
      <c r="I201" s="2">
        <v>26673990.940000001</v>
      </c>
      <c r="J201" s="2">
        <v>3820600.44</v>
      </c>
      <c r="K201" s="2">
        <v>8535461.2599999998</v>
      </c>
      <c r="L201">
        <v>6.5</v>
      </c>
      <c r="M201">
        <v>52</v>
      </c>
      <c r="N201">
        <v>2302</v>
      </c>
      <c r="O201">
        <v>804</v>
      </c>
      <c r="P201" t="s">
        <v>643</v>
      </c>
      <c r="Q201" t="s">
        <v>678</v>
      </c>
      <c r="R201" s="2">
        <f>Table1[[#This Row],[Global_BoxOfficeUSD]]-Table1[[#This Row],[BudgetUSD]]</f>
        <v>15863207.960000001</v>
      </c>
      <c r="S201" s="15">
        <f>Table1[[#This Row],[Profit]]/Table1[[#This Row],[BudgetUSD]]</f>
        <v>1.4673505137737952</v>
      </c>
      <c r="T201" t="str">
        <f>IF(Table1[[#This Row],[ROI]]&gt;100%,"Hit","Flop")</f>
        <v>Hit</v>
      </c>
    </row>
    <row r="202" spans="1:20" x14ac:dyDescent="0.3">
      <c r="A202">
        <v>234</v>
      </c>
      <c r="B202" t="s">
        <v>546</v>
      </c>
      <c r="C202" t="s">
        <v>18</v>
      </c>
      <c r="D202">
        <v>2009</v>
      </c>
      <c r="E202" s="1">
        <v>40114</v>
      </c>
      <c r="F202" t="s">
        <v>249</v>
      </c>
      <c r="G202" s="2">
        <v>9460721.4000000004</v>
      </c>
      <c r="H202" s="2">
        <v>15692900.42</v>
      </c>
      <c r="I202" s="2">
        <v>26571509.66</v>
      </c>
      <c r="J202" s="2">
        <v>2646547.59</v>
      </c>
      <c r="K202" s="2">
        <v>6642172.2599999998</v>
      </c>
      <c r="L202">
        <v>8.6</v>
      </c>
      <c r="M202">
        <v>86</v>
      </c>
      <c r="N202">
        <v>581</v>
      </c>
      <c r="O202">
        <v>259</v>
      </c>
      <c r="P202" t="s">
        <v>156</v>
      </c>
      <c r="Q202" t="s">
        <v>62</v>
      </c>
      <c r="R202" s="2">
        <f>Table1[[#This Row],[Global_BoxOfficeUSD]]-Table1[[#This Row],[BudgetUSD]]</f>
        <v>17110788.259999998</v>
      </c>
      <c r="S202" s="15">
        <f>Table1[[#This Row],[Profit]]/Table1[[#This Row],[BudgetUSD]]</f>
        <v>1.808613480574536</v>
      </c>
      <c r="T202" t="str">
        <f>IF(Table1[[#This Row],[ROI]]&gt;100%,"Hit","Flop")</f>
        <v>Hit</v>
      </c>
    </row>
    <row r="203" spans="1:20" x14ac:dyDescent="0.3">
      <c r="A203">
        <v>959</v>
      </c>
      <c r="B203" t="s">
        <v>1368</v>
      </c>
      <c r="C203" t="s">
        <v>18</v>
      </c>
      <c r="D203">
        <v>1961</v>
      </c>
      <c r="E203" s="1">
        <v>22445</v>
      </c>
      <c r="F203" t="s">
        <v>23</v>
      </c>
      <c r="G203" s="2">
        <v>5900796.5</v>
      </c>
      <c r="H203" s="2">
        <v>15097640.92</v>
      </c>
      <c r="I203" s="2">
        <v>26470920.109999999</v>
      </c>
      <c r="J203" s="2">
        <v>2045981.92</v>
      </c>
      <c r="K203" s="2">
        <v>7848646.4800000004</v>
      </c>
      <c r="L203">
        <v>6.8</v>
      </c>
      <c r="M203">
        <v>62</v>
      </c>
      <c r="N203">
        <v>10180</v>
      </c>
      <c r="O203">
        <v>2138</v>
      </c>
      <c r="P203" t="s">
        <v>416</v>
      </c>
      <c r="Q203" t="s">
        <v>93</v>
      </c>
      <c r="R203" s="2">
        <f>Table1[[#This Row],[Global_BoxOfficeUSD]]-Table1[[#This Row],[BudgetUSD]]</f>
        <v>20570123.609999999</v>
      </c>
      <c r="S203" s="15">
        <f>Table1[[#This Row],[Profit]]/Table1[[#This Row],[BudgetUSD]]</f>
        <v>3.4859910200258559</v>
      </c>
      <c r="T203" t="str">
        <f>IF(Table1[[#This Row],[ROI]]&gt;100%,"Hit","Flop")</f>
        <v>Hit</v>
      </c>
    </row>
    <row r="204" spans="1:20" x14ac:dyDescent="0.3">
      <c r="A204">
        <v>401</v>
      </c>
      <c r="B204" t="s">
        <v>774</v>
      </c>
      <c r="C204" t="s">
        <v>33</v>
      </c>
      <c r="D204">
        <v>1993</v>
      </c>
      <c r="E204" s="1">
        <v>34024</v>
      </c>
      <c r="F204" t="s">
        <v>23</v>
      </c>
      <c r="G204" s="2">
        <v>13341339.51</v>
      </c>
      <c r="H204" s="2">
        <v>17453728.219999999</v>
      </c>
      <c r="I204" s="2">
        <v>26450209.329999998</v>
      </c>
      <c r="J204" s="2">
        <v>1950908.78</v>
      </c>
      <c r="K204" s="2">
        <v>9459172.0399999991</v>
      </c>
      <c r="L204">
        <v>7.7</v>
      </c>
      <c r="M204">
        <v>86</v>
      </c>
      <c r="N204">
        <v>4211</v>
      </c>
      <c r="O204">
        <v>4929</v>
      </c>
      <c r="P204" t="s">
        <v>494</v>
      </c>
      <c r="Q204" t="s">
        <v>775</v>
      </c>
      <c r="R204" s="2">
        <f>Table1[[#This Row],[Global_BoxOfficeUSD]]-Table1[[#This Row],[BudgetUSD]]</f>
        <v>13108869.819999998</v>
      </c>
      <c r="S204" s="15">
        <f>Table1[[#This Row],[Profit]]/Table1[[#This Row],[BudgetUSD]]</f>
        <v>0.9825752361803135</v>
      </c>
      <c r="T204" t="str">
        <f>IF(Table1[[#This Row],[ROI]]&gt;100%,"Hit","Flop")</f>
        <v>Flop</v>
      </c>
    </row>
    <row r="205" spans="1:20" x14ac:dyDescent="0.3">
      <c r="A205">
        <v>552</v>
      </c>
      <c r="B205" t="s">
        <v>963</v>
      </c>
      <c r="C205" t="s">
        <v>67</v>
      </c>
      <c r="D205">
        <v>2018</v>
      </c>
      <c r="E205" s="1">
        <v>43167</v>
      </c>
      <c r="F205" t="s">
        <v>23</v>
      </c>
      <c r="G205" s="2">
        <v>5783372.2800000003</v>
      </c>
      <c r="H205" s="2">
        <v>15646863.630000001</v>
      </c>
      <c r="I205" s="2">
        <v>26446212.600000001</v>
      </c>
      <c r="J205" s="2">
        <v>2172584.2200000002</v>
      </c>
      <c r="K205" s="2">
        <v>7094922.0300000003</v>
      </c>
      <c r="L205">
        <v>5.4</v>
      </c>
      <c r="M205">
        <v>39</v>
      </c>
      <c r="N205">
        <v>383</v>
      </c>
      <c r="O205">
        <v>98</v>
      </c>
      <c r="P205" t="s">
        <v>829</v>
      </c>
      <c r="Q205" t="s">
        <v>752</v>
      </c>
      <c r="R205" s="2">
        <f>Table1[[#This Row],[Global_BoxOfficeUSD]]-Table1[[#This Row],[BudgetUSD]]</f>
        <v>20662840.32</v>
      </c>
      <c r="S205" s="15">
        <f>Table1[[#This Row],[Profit]]/Table1[[#This Row],[BudgetUSD]]</f>
        <v>3.5728013552674147</v>
      </c>
      <c r="T205" t="str">
        <f>IF(Table1[[#This Row],[ROI]]&gt;100%,"Hit","Flop")</f>
        <v>Hit</v>
      </c>
    </row>
    <row r="206" spans="1:20" x14ac:dyDescent="0.3">
      <c r="A206">
        <v>151</v>
      </c>
      <c r="B206" t="s">
        <v>390</v>
      </c>
      <c r="C206" t="s">
        <v>77</v>
      </c>
      <c r="D206">
        <v>2002</v>
      </c>
      <c r="E206" s="1">
        <v>37411</v>
      </c>
      <c r="F206" t="s">
        <v>23</v>
      </c>
      <c r="G206" s="2">
        <v>7207610.5899999999</v>
      </c>
      <c r="H206" s="2">
        <v>10866283.369999999</v>
      </c>
      <c r="I206" s="2">
        <v>26399574.329999998</v>
      </c>
      <c r="J206" s="2">
        <v>1220069.51</v>
      </c>
      <c r="K206" s="2">
        <v>5778348.1100000003</v>
      </c>
      <c r="L206">
        <v>7.8</v>
      </c>
      <c r="M206">
        <v>89</v>
      </c>
      <c r="N206">
        <v>6280</v>
      </c>
      <c r="O206">
        <v>50</v>
      </c>
      <c r="P206" t="s">
        <v>219</v>
      </c>
      <c r="Q206" t="s">
        <v>391</v>
      </c>
      <c r="R206" s="2">
        <f>Table1[[#This Row],[Global_BoxOfficeUSD]]-Table1[[#This Row],[BudgetUSD]]</f>
        <v>19191963.739999998</v>
      </c>
      <c r="S206" s="15">
        <f>Table1[[#This Row],[Profit]]/Table1[[#This Row],[BudgetUSD]]</f>
        <v>2.6627359372920836</v>
      </c>
      <c r="T206" t="str">
        <f>IF(Table1[[#This Row],[ROI]]&gt;100%,"Hit","Flop")</f>
        <v>Hit</v>
      </c>
    </row>
    <row r="207" spans="1:20" x14ac:dyDescent="0.3">
      <c r="A207">
        <v>449</v>
      </c>
      <c r="B207" t="s">
        <v>840</v>
      </c>
      <c r="C207" t="s">
        <v>38</v>
      </c>
      <c r="D207">
        <v>2006</v>
      </c>
      <c r="E207" s="1">
        <v>38775</v>
      </c>
      <c r="F207" t="s">
        <v>23</v>
      </c>
      <c r="G207" s="2">
        <v>6531160.0599999996</v>
      </c>
      <c r="H207" s="2">
        <v>13248033.810000001</v>
      </c>
      <c r="I207" s="2">
        <v>26398433.449999999</v>
      </c>
      <c r="J207" s="2">
        <v>1379392.57</v>
      </c>
      <c r="K207" s="2">
        <v>6093141.6299999999</v>
      </c>
      <c r="L207">
        <v>5.3</v>
      </c>
      <c r="M207">
        <v>55</v>
      </c>
      <c r="N207">
        <v>163</v>
      </c>
      <c r="O207">
        <v>330</v>
      </c>
      <c r="P207" t="s">
        <v>184</v>
      </c>
      <c r="Q207" t="s">
        <v>217</v>
      </c>
      <c r="R207" s="2">
        <f>Table1[[#This Row],[Global_BoxOfficeUSD]]-Table1[[#This Row],[BudgetUSD]]</f>
        <v>19867273.390000001</v>
      </c>
      <c r="S207" s="15">
        <f>Table1[[#This Row],[Profit]]/Table1[[#This Row],[BudgetUSD]]</f>
        <v>3.0419210687664577</v>
      </c>
      <c r="T207" t="str">
        <f>IF(Table1[[#This Row],[ROI]]&gt;100%,"Hit","Flop")</f>
        <v>Hit</v>
      </c>
    </row>
    <row r="208" spans="1:20" x14ac:dyDescent="0.3">
      <c r="A208">
        <v>98</v>
      </c>
      <c r="B208" s="14" t="s">
        <v>283</v>
      </c>
      <c r="C208" t="s">
        <v>77</v>
      </c>
      <c r="D208">
        <v>1994</v>
      </c>
      <c r="E208" s="1">
        <v>34463</v>
      </c>
      <c r="F208" t="s">
        <v>23</v>
      </c>
      <c r="G208" s="2">
        <v>6184974.8600000003</v>
      </c>
      <c r="H208" s="2">
        <v>16002352.359999999</v>
      </c>
      <c r="I208" s="2">
        <v>26207047.789999999</v>
      </c>
      <c r="J208" s="2">
        <v>2733156.99</v>
      </c>
      <c r="K208" s="2">
        <v>9381550.9399999995</v>
      </c>
      <c r="L208">
        <v>3</v>
      </c>
      <c r="M208">
        <v>32</v>
      </c>
      <c r="N208">
        <v>221</v>
      </c>
      <c r="O208">
        <v>243</v>
      </c>
      <c r="P208" t="s">
        <v>212</v>
      </c>
      <c r="Q208" t="s">
        <v>137</v>
      </c>
      <c r="R208" s="2">
        <f>Table1[[#This Row],[Global_BoxOfficeUSD]]-Table1[[#This Row],[BudgetUSD]]</f>
        <v>20022072.93</v>
      </c>
      <c r="S208" s="15">
        <f>Table1[[#This Row],[Profit]]/Table1[[#This Row],[BudgetUSD]]</f>
        <v>3.2372116917545561</v>
      </c>
      <c r="T208" t="str">
        <f>IF(Table1[[#This Row],[ROI]]&gt;100%,"Hit","Flop")</f>
        <v>Hit</v>
      </c>
    </row>
    <row r="209" spans="1:20" x14ac:dyDescent="0.3">
      <c r="A209">
        <v>242</v>
      </c>
      <c r="B209" t="s">
        <v>556</v>
      </c>
      <c r="C209" t="s">
        <v>38</v>
      </c>
      <c r="D209">
        <v>1982</v>
      </c>
      <c r="E209" s="1">
        <v>29980</v>
      </c>
      <c r="F209" t="s">
        <v>23</v>
      </c>
      <c r="G209" s="2">
        <v>6932887.5099999998</v>
      </c>
      <c r="H209" s="2">
        <v>12617263.810000001</v>
      </c>
      <c r="I209" s="2">
        <v>25985797.859999999</v>
      </c>
      <c r="J209" s="2">
        <v>2059841.44</v>
      </c>
      <c r="K209" s="2">
        <v>7232861.1399999997</v>
      </c>
      <c r="L209">
        <v>7.8</v>
      </c>
      <c r="M209">
        <v>80</v>
      </c>
      <c r="N209">
        <v>26031</v>
      </c>
      <c r="O209">
        <v>69</v>
      </c>
      <c r="P209" t="s">
        <v>337</v>
      </c>
      <c r="Q209" t="s">
        <v>557</v>
      </c>
      <c r="R209" s="2">
        <f>Table1[[#This Row],[Global_BoxOfficeUSD]]-Table1[[#This Row],[BudgetUSD]]</f>
        <v>19052910.350000001</v>
      </c>
      <c r="S209" s="15">
        <f>Table1[[#This Row],[Profit]]/Table1[[#This Row],[BudgetUSD]]</f>
        <v>2.7481926286151444</v>
      </c>
      <c r="T209" t="str">
        <f>IF(Table1[[#This Row],[ROI]]&gt;100%,"Hit","Flop")</f>
        <v>Hit</v>
      </c>
    </row>
    <row r="210" spans="1:20" x14ac:dyDescent="0.3">
      <c r="A210">
        <v>595</v>
      </c>
      <c r="B210" t="s">
        <v>1011</v>
      </c>
      <c r="C210" t="s">
        <v>38</v>
      </c>
      <c r="D210">
        <v>2002</v>
      </c>
      <c r="E210" s="1">
        <v>37455</v>
      </c>
      <c r="F210" t="s">
        <v>23</v>
      </c>
      <c r="G210" s="2">
        <v>6891344.1100000003</v>
      </c>
      <c r="H210" s="2">
        <v>11577640.73</v>
      </c>
      <c r="I210" s="2">
        <v>25874843.120000001</v>
      </c>
      <c r="J210" s="2">
        <v>2835204.08</v>
      </c>
      <c r="K210" s="2">
        <v>6294590.7199999997</v>
      </c>
      <c r="L210">
        <v>7.4</v>
      </c>
      <c r="M210">
        <v>90</v>
      </c>
      <c r="N210">
        <v>1062</v>
      </c>
      <c r="O210">
        <v>149</v>
      </c>
      <c r="P210" t="s">
        <v>102</v>
      </c>
      <c r="Q210" t="s">
        <v>1012</v>
      </c>
      <c r="R210" s="2">
        <f>Table1[[#This Row],[Global_BoxOfficeUSD]]-Table1[[#This Row],[BudgetUSD]]</f>
        <v>18983499.010000002</v>
      </c>
      <c r="S210" s="15">
        <f>Table1[[#This Row],[Profit]]/Table1[[#This Row],[BudgetUSD]]</f>
        <v>2.7546874320864525</v>
      </c>
      <c r="T210" t="str">
        <f>IF(Table1[[#This Row],[ROI]]&gt;100%,"Hit","Flop")</f>
        <v>Hit</v>
      </c>
    </row>
    <row r="211" spans="1:20" x14ac:dyDescent="0.3">
      <c r="A211">
        <v>243</v>
      </c>
      <c r="B211" t="s">
        <v>558</v>
      </c>
      <c r="C211" t="s">
        <v>67</v>
      </c>
      <c r="D211">
        <v>2021</v>
      </c>
      <c r="E211" s="1">
        <v>44369</v>
      </c>
      <c r="F211" t="s">
        <v>23</v>
      </c>
      <c r="G211" s="2">
        <v>7882093.9699999997</v>
      </c>
      <c r="H211" s="2">
        <v>11853890.4</v>
      </c>
      <c r="I211" s="2">
        <v>25862380.66</v>
      </c>
      <c r="J211" s="2">
        <v>1967414.07</v>
      </c>
      <c r="K211" s="2">
        <v>5817980.29</v>
      </c>
      <c r="L211">
        <v>6.4</v>
      </c>
      <c r="M211">
        <v>46</v>
      </c>
      <c r="N211">
        <v>2031</v>
      </c>
      <c r="O211">
        <v>689</v>
      </c>
      <c r="P211" t="s">
        <v>164</v>
      </c>
      <c r="Q211" t="s">
        <v>559</v>
      </c>
      <c r="R211" s="2">
        <f>Table1[[#This Row],[Global_BoxOfficeUSD]]-Table1[[#This Row],[BudgetUSD]]</f>
        <v>17980286.690000001</v>
      </c>
      <c r="S211" s="15">
        <f>Table1[[#This Row],[Profit]]/Table1[[#This Row],[BudgetUSD]]</f>
        <v>2.2811560936008481</v>
      </c>
      <c r="T211" t="str">
        <f>IF(Table1[[#This Row],[ROI]]&gt;100%,"Hit","Flop")</f>
        <v>Hit</v>
      </c>
    </row>
    <row r="212" spans="1:20" x14ac:dyDescent="0.3">
      <c r="A212">
        <v>130</v>
      </c>
      <c r="B212" t="s">
        <v>352</v>
      </c>
      <c r="C212" t="s">
        <v>77</v>
      </c>
      <c r="D212">
        <v>1996</v>
      </c>
      <c r="E212" s="1">
        <v>35343</v>
      </c>
      <c r="F212" t="s">
        <v>23</v>
      </c>
      <c r="G212" s="2">
        <v>6810283.0499999998</v>
      </c>
      <c r="H212" s="2">
        <v>11240103.16</v>
      </c>
      <c r="I212" s="2">
        <v>25861721.719999999</v>
      </c>
      <c r="J212" s="2">
        <v>1326285.2</v>
      </c>
      <c r="K212" s="2">
        <v>5203273.9400000004</v>
      </c>
      <c r="L212">
        <v>7.4</v>
      </c>
      <c r="M212">
        <v>76</v>
      </c>
      <c r="N212">
        <v>2709</v>
      </c>
      <c r="O212">
        <v>50</v>
      </c>
      <c r="P212" t="s">
        <v>187</v>
      </c>
      <c r="Q212" t="s">
        <v>353</v>
      </c>
      <c r="R212" s="2">
        <f>Table1[[#This Row],[Global_BoxOfficeUSD]]-Table1[[#This Row],[BudgetUSD]]</f>
        <v>19051438.669999998</v>
      </c>
      <c r="S212" s="15">
        <f>Table1[[#This Row],[Profit]]/Table1[[#This Row],[BudgetUSD]]</f>
        <v>2.7974518136951736</v>
      </c>
      <c r="T212" t="str">
        <f>IF(Table1[[#This Row],[ROI]]&gt;100%,"Hit","Flop")</f>
        <v>Hit</v>
      </c>
    </row>
    <row r="213" spans="1:20" x14ac:dyDescent="0.3">
      <c r="A213">
        <v>82</v>
      </c>
      <c r="B213" t="s">
        <v>245</v>
      </c>
      <c r="C213" t="s">
        <v>45</v>
      </c>
      <c r="D213">
        <v>1968</v>
      </c>
      <c r="E213" s="1">
        <v>24920</v>
      </c>
      <c r="F213" t="s">
        <v>23</v>
      </c>
      <c r="G213" s="2">
        <v>6157229.71</v>
      </c>
      <c r="H213" s="2">
        <v>13095823.130000001</v>
      </c>
      <c r="I213" s="2">
        <v>25839279.390000001</v>
      </c>
      <c r="J213" s="2">
        <v>3900253.43</v>
      </c>
      <c r="K213" s="2">
        <v>7404765.2999999998</v>
      </c>
      <c r="L213">
        <v>6.8</v>
      </c>
      <c r="M213">
        <v>58</v>
      </c>
      <c r="N213">
        <v>224</v>
      </c>
      <c r="O213">
        <v>281</v>
      </c>
      <c r="P213" t="s">
        <v>246</v>
      </c>
      <c r="Q213" t="s">
        <v>247</v>
      </c>
      <c r="R213" s="2">
        <f>Table1[[#This Row],[Global_BoxOfficeUSD]]-Table1[[#This Row],[BudgetUSD]]</f>
        <v>19682049.68</v>
      </c>
      <c r="S213" s="15">
        <f>Table1[[#This Row],[Profit]]/Table1[[#This Row],[BudgetUSD]]</f>
        <v>3.1965755066818842</v>
      </c>
      <c r="T213" t="str">
        <f>IF(Table1[[#This Row],[ROI]]&gt;100%,"Hit","Flop")</f>
        <v>Hit</v>
      </c>
    </row>
    <row r="214" spans="1:20" x14ac:dyDescent="0.3">
      <c r="A214">
        <v>667</v>
      </c>
      <c r="B214" t="s">
        <v>1088</v>
      </c>
      <c r="C214" t="s">
        <v>45</v>
      </c>
      <c r="D214">
        <v>2013</v>
      </c>
      <c r="E214" s="1">
        <v>41333</v>
      </c>
      <c r="F214" t="s">
        <v>152</v>
      </c>
      <c r="G214" s="2">
        <v>25190641.68</v>
      </c>
      <c r="H214" s="2">
        <v>12185578.09</v>
      </c>
      <c r="I214" s="2">
        <v>25190641.68</v>
      </c>
      <c r="J214" s="2">
        <v>2021917.71</v>
      </c>
      <c r="K214" s="2">
        <v>5655337.1799999997</v>
      </c>
      <c r="L214">
        <v>7.2</v>
      </c>
      <c r="M214">
        <v>72</v>
      </c>
      <c r="N214">
        <v>2858</v>
      </c>
      <c r="O214">
        <v>187</v>
      </c>
      <c r="P214" t="s">
        <v>666</v>
      </c>
      <c r="Q214" t="s">
        <v>425</v>
      </c>
      <c r="R214" s="2">
        <f>Table1[[#This Row],[Global_BoxOfficeUSD]]-Table1[[#This Row],[BudgetUSD]]</f>
        <v>0</v>
      </c>
      <c r="S214" s="15">
        <f>Table1[[#This Row],[Profit]]/Table1[[#This Row],[BudgetUSD]]</f>
        <v>0</v>
      </c>
      <c r="T214" t="str">
        <f>IF(Table1[[#This Row],[ROI]]&gt;100%,"Hit","Flop")</f>
        <v>Flop</v>
      </c>
    </row>
    <row r="215" spans="1:20" x14ac:dyDescent="0.3">
      <c r="A215">
        <v>813</v>
      </c>
      <c r="B215" t="s">
        <v>60</v>
      </c>
      <c r="C215" t="s">
        <v>38</v>
      </c>
      <c r="D215">
        <v>2014</v>
      </c>
      <c r="E215" s="1">
        <v>41706</v>
      </c>
      <c r="F215" t="s">
        <v>23</v>
      </c>
      <c r="G215" s="2">
        <v>25181123.18</v>
      </c>
      <c r="H215" s="2">
        <v>16689199.09</v>
      </c>
      <c r="I215" s="2">
        <v>25181123.18</v>
      </c>
      <c r="J215" s="2">
        <v>3506530.27</v>
      </c>
      <c r="K215" s="2">
        <v>7509553.5099999998</v>
      </c>
      <c r="L215">
        <v>4.9000000000000004</v>
      </c>
      <c r="M215">
        <v>57</v>
      </c>
      <c r="N215">
        <v>47154</v>
      </c>
      <c r="O215">
        <v>319</v>
      </c>
      <c r="P215" t="s">
        <v>727</v>
      </c>
      <c r="Q215" t="s">
        <v>611</v>
      </c>
      <c r="R215" s="2">
        <f>Table1[[#This Row],[Global_BoxOfficeUSD]]-Table1[[#This Row],[BudgetUSD]]</f>
        <v>0</v>
      </c>
      <c r="S215" s="15">
        <f>Table1[[#This Row],[Profit]]/Table1[[#This Row],[BudgetUSD]]</f>
        <v>0</v>
      </c>
      <c r="T215" t="str">
        <f>IF(Table1[[#This Row],[ROI]]&gt;100%,"Hit","Flop")</f>
        <v>Flop</v>
      </c>
    </row>
    <row r="216" spans="1:20" x14ac:dyDescent="0.3">
      <c r="A216">
        <v>285</v>
      </c>
      <c r="B216" s="14" t="s">
        <v>621</v>
      </c>
      <c r="C216" t="s">
        <v>38</v>
      </c>
      <c r="D216">
        <v>1996</v>
      </c>
      <c r="E216" s="1">
        <v>35153</v>
      </c>
      <c r="F216" t="s">
        <v>249</v>
      </c>
      <c r="G216" s="2">
        <v>22111378.530000001</v>
      </c>
      <c r="H216" s="2">
        <v>13300538.15</v>
      </c>
      <c r="I216" s="2">
        <v>24830858.899999999</v>
      </c>
      <c r="J216" s="2">
        <v>2444142.8199999998</v>
      </c>
      <c r="K216" s="2">
        <v>5933879.7599999998</v>
      </c>
      <c r="L216">
        <v>2.8</v>
      </c>
      <c r="M216">
        <v>28</v>
      </c>
      <c r="N216">
        <v>120472</v>
      </c>
      <c r="O216">
        <v>107</v>
      </c>
      <c r="P216" t="s">
        <v>606</v>
      </c>
      <c r="Q216" t="s">
        <v>21</v>
      </c>
      <c r="R216" s="2">
        <f>Table1[[#This Row],[Global_BoxOfficeUSD]]-Table1[[#This Row],[BudgetUSD]]</f>
        <v>2719480.3699999973</v>
      </c>
      <c r="S216" s="15">
        <f>Table1[[#This Row],[Profit]]/Table1[[#This Row],[BudgetUSD]]</f>
        <v>0.12299008704094566</v>
      </c>
      <c r="T216" t="str">
        <f>IF(Table1[[#This Row],[ROI]]&gt;100%,"Hit","Flop")</f>
        <v>Flop</v>
      </c>
    </row>
    <row r="217" spans="1:20" x14ac:dyDescent="0.3">
      <c r="A217">
        <v>763</v>
      </c>
      <c r="B217" t="s">
        <v>1184</v>
      </c>
      <c r="C217" t="s">
        <v>77</v>
      </c>
      <c r="D217">
        <v>2017</v>
      </c>
      <c r="E217" s="1">
        <v>43038</v>
      </c>
      <c r="F217" t="s">
        <v>132</v>
      </c>
      <c r="G217" s="2">
        <v>24825698.449999999</v>
      </c>
      <c r="H217" s="2">
        <v>17069628.600000001</v>
      </c>
      <c r="I217" s="2">
        <v>24825698.449999999</v>
      </c>
      <c r="J217" s="2">
        <v>4326859.6500000004</v>
      </c>
      <c r="K217" s="2">
        <v>8177798</v>
      </c>
      <c r="L217">
        <v>7</v>
      </c>
      <c r="M217">
        <v>55</v>
      </c>
      <c r="N217">
        <v>14389</v>
      </c>
      <c r="O217">
        <v>1350</v>
      </c>
      <c r="P217" t="s">
        <v>277</v>
      </c>
      <c r="Q217" t="s">
        <v>130</v>
      </c>
      <c r="R217" s="2">
        <f>Table1[[#This Row],[Global_BoxOfficeUSD]]-Table1[[#This Row],[BudgetUSD]]</f>
        <v>0</v>
      </c>
      <c r="S217" s="15">
        <f>Table1[[#This Row],[Profit]]/Table1[[#This Row],[BudgetUSD]]</f>
        <v>0</v>
      </c>
      <c r="T217" t="str">
        <f>IF(Table1[[#This Row],[ROI]]&gt;100%,"Hit","Flop")</f>
        <v>Flop</v>
      </c>
    </row>
    <row r="218" spans="1:20" x14ac:dyDescent="0.3">
      <c r="A218">
        <v>39</v>
      </c>
      <c r="B218" t="s">
        <v>138</v>
      </c>
      <c r="C218" t="s">
        <v>67</v>
      </c>
      <c r="D218">
        <v>1985</v>
      </c>
      <c r="E218" s="1">
        <v>31395</v>
      </c>
      <c r="F218" t="s">
        <v>139</v>
      </c>
      <c r="G218" s="2">
        <v>18078218.43</v>
      </c>
      <c r="H218" s="2">
        <v>15977864.710000001</v>
      </c>
      <c r="I218" s="2">
        <v>24818868.59</v>
      </c>
      <c r="J218" s="2">
        <v>1795317.33</v>
      </c>
      <c r="K218" s="2">
        <v>7744296.9000000004</v>
      </c>
      <c r="L218">
        <v>7.7</v>
      </c>
      <c r="M218">
        <v>78</v>
      </c>
      <c r="N218">
        <v>4232</v>
      </c>
      <c r="O218">
        <v>69</v>
      </c>
      <c r="P218" t="s">
        <v>140</v>
      </c>
      <c r="Q218" t="s">
        <v>141</v>
      </c>
      <c r="R218" s="2">
        <f>Table1[[#This Row],[Global_BoxOfficeUSD]]-Table1[[#This Row],[BudgetUSD]]</f>
        <v>6740650.1600000001</v>
      </c>
      <c r="S218" s="15">
        <f>Table1[[#This Row],[Profit]]/Table1[[#This Row],[BudgetUSD]]</f>
        <v>0.3728603117669046</v>
      </c>
      <c r="T218" t="str">
        <f>IF(Table1[[#This Row],[ROI]]&gt;100%,"Hit","Flop")</f>
        <v>Flop</v>
      </c>
    </row>
    <row r="219" spans="1:20" x14ac:dyDescent="0.3">
      <c r="A219">
        <v>288</v>
      </c>
      <c r="B219" t="s">
        <v>625</v>
      </c>
      <c r="C219" t="s">
        <v>38</v>
      </c>
      <c r="D219">
        <v>2018</v>
      </c>
      <c r="E219" s="1">
        <v>43359</v>
      </c>
      <c r="F219" t="s">
        <v>23</v>
      </c>
      <c r="G219" s="2">
        <v>6708506.2199999997</v>
      </c>
      <c r="H219" s="2">
        <v>13488044.439999999</v>
      </c>
      <c r="I219" s="2">
        <v>24815308.260000002</v>
      </c>
      <c r="J219" s="2">
        <v>3748002.72</v>
      </c>
      <c r="K219" s="2">
        <v>5860526.7999999998</v>
      </c>
      <c r="L219">
        <v>8.9</v>
      </c>
      <c r="M219">
        <v>77</v>
      </c>
      <c r="N219">
        <v>3113</v>
      </c>
      <c r="O219">
        <v>102</v>
      </c>
      <c r="P219" t="s">
        <v>205</v>
      </c>
      <c r="Q219" t="s">
        <v>134</v>
      </c>
      <c r="R219" s="2">
        <f>Table1[[#This Row],[Global_BoxOfficeUSD]]-Table1[[#This Row],[BudgetUSD]]</f>
        <v>18106802.040000003</v>
      </c>
      <c r="S219" s="15">
        <f>Table1[[#This Row],[Profit]]/Table1[[#This Row],[BudgetUSD]]</f>
        <v>2.6990810541426322</v>
      </c>
      <c r="T219" t="str">
        <f>IF(Table1[[#This Row],[ROI]]&gt;100%,"Hit","Flop")</f>
        <v>Hit</v>
      </c>
    </row>
    <row r="220" spans="1:20" x14ac:dyDescent="0.3">
      <c r="A220">
        <v>650</v>
      </c>
      <c r="B220" t="s">
        <v>1070</v>
      </c>
      <c r="C220" t="s">
        <v>38</v>
      </c>
      <c r="D220">
        <v>1978</v>
      </c>
      <c r="E220" s="1">
        <v>28607</v>
      </c>
      <c r="F220" t="s">
        <v>139</v>
      </c>
      <c r="G220" s="2">
        <v>6089310.1399999997</v>
      </c>
      <c r="H220" s="2">
        <v>13870583.279999999</v>
      </c>
      <c r="I220" s="2">
        <v>24598717.91</v>
      </c>
      <c r="J220" s="2">
        <v>3206493.31</v>
      </c>
      <c r="K220" s="2">
        <v>8177332.04</v>
      </c>
      <c r="L220">
        <v>6.8</v>
      </c>
      <c r="M220">
        <v>73</v>
      </c>
      <c r="N220">
        <v>935</v>
      </c>
      <c r="O220">
        <v>451</v>
      </c>
      <c r="P220" t="s">
        <v>126</v>
      </c>
      <c r="Q220" t="s">
        <v>895</v>
      </c>
      <c r="R220" s="2">
        <f>Table1[[#This Row],[Global_BoxOfficeUSD]]-Table1[[#This Row],[BudgetUSD]]</f>
        <v>18509407.77</v>
      </c>
      <c r="S220" s="15">
        <f>Table1[[#This Row],[Profit]]/Table1[[#This Row],[BudgetUSD]]</f>
        <v>3.0396559453284802</v>
      </c>
      <c r="T220" t="str">
        <f>IF(Table1[[#This Row],[ROI]]&gt;100%,"Hit","Flop")</f>
        <v>Hit</v>
      </c>
    </row>
    <row r="221" spans="1:20" x14ac:dyDescent="0.3">
      <c r="A221">
        <v>163</v>
      </c>
      <c r="B221" t="s">
        <v>418</v>
      </c>
      <c r="C221" t="s">
        <v>38</v>
      </c>
      <c r="D221">
        <v>1994</v>
      </c>
      <c r="E221" s="1">
        <v>34386</v>
      </c>
      <c r="F221" t="s">
        <v>23</v>
      </c>
      <c r="G221" s="2">
        <v>5452826.0999999996</v>
      </c>
      <c r="H221" s="2">
        <v>14053076.41</v>
      </c>
      <c r="I221" s="2">
        <v>24018528.329999998</v>
      </c>
      <c r="J221" s="2">
        <v>2726395.01</v>
      </c>
      <c r="K221" s="2">
        <v>7985730.4699999997</v>
      </c>
      <c r="L221">
        <v>9.4</v>
      </c>
      <c r="M221">
        <v>84</v>
      </c>
      <c r="N221">
        <v>5837</v>
      </c>
      <c r="O221">
        <v>50</v>
      </c>
      <c r="P221" t="s">
        <v>419</v>
      </c>
      <c r="Q221" t="s">
        <v>21</v>
      </c>
      <c r="R221" s="2">
        <f>Table1[[#This Row],[Global_BoxOfficeUSD]]-Table1[[#This Row],[BudgetUSD]]</f>
        <v>18565702.229999997</v>
      </c>
      <c r="S221" s="15">
        <f>Table1[[#This Row],[Profit]]/Table1[[#This Row],[BudgetUSD]]</f>
        <v>3.4047853149030369</v>
      </c>
      <c r="T221" t="str">
        <f>IF(Table1[[#This Row],[ROI]]&gt;100%,"Hit","Flop")</f>
        <v>Hit</v>
      </c>
    </row>
    <row r="222" spans="1:20" x14ac:dyDescent="0.3">
      <c r="A222">
        <v>920</v>
      </c>
      <c r="B222" t="s">
        <v>15</v>
      </c>
      <c r="C222" t="s">
        <v>67</v>
      </c>
      <c r="D222">
        <v>2007</v>
      </c>
      <c r="E222" s="1">
        <v>39307</v>
      </c>
      <c r="F222" t="s">
        <v>23</v>
      </c>
      <c r="G222" s="2">
        <v>5846430.2300000004</v>
      </c>
      <c r="H222" s="2">
        <v>9851534.2599999998</v>
      </c>
      <c r="I222" s="2">
        <v>23930976.68</v>
      </c>
      <c r="J222" s="2">
        <v>1622459.62</v>
      </c>
      <c r="K222" s="2">
        <v>3964437.11</v>
      </c>
      <c r="L222">
        <v>4.5999999999999996</v>
      </c>
      <c r="M222">
        <v>57</v>
      </c>
      <c r="N222">
        <v>3387</v>
      </c>
      <c r="O222">
        <v>2187</v>
      </c>
      <c r="P222" t="s">
        <v>430</v>
      </c>
      <c r="Q222" t="s">
        <v>569</v>
      </c>
      <c r="R222" s="2">
        <f>Table1[[#This Row],[Global_BoxOfficeUSD]]-Table1[[#This Row],[BudgetUSD]]</f>
        <v>18084546.449999999</v>
      </c>
      <c r="S222" s="15">
        <f>Table1[[#This Row],[Profit]]/Table1[[#This Row],[BudgetUSD]]</f>
        <v>3.0932630235116991</v>
      </c>
      <c r="T222" t="str">
        <f>IF(Table1[[#This Row],[ROI]]&gt;100%,"Hit","Flop")</f>
        <v>Hit</v>
      </c>
    </row>
    <row r="223" spans="1:20" x14ac:dyDescent="0.3">
      <c r="A223">
        <v>64</v>
      </c>
      <c r="B223" t="s">
        <v>204</v>
      </c>
      <c r="C223" t="s">
        <v>77</v>
      </c>
      <c r="D223">
        <v>2012</v>
      </c>
      <c r="E223" s="1">
        <v>40987</v>
      </c>
      <c r="F223" t="s">
        <v>23</v>
      </c>
      <c r="G223" s="2">
        <v>7471929.79</v>
      </c>
      <c r="H223" s="2">
        <v>14388823.550000001</v>
      </c>
      <c r="I223" s="2">
        <v>23901529</v>
      </c>
      <c r="J223" s="2">
        <v>3660547.81</v>
      </c>
      <c r="K223" s="2">
        <v>5823415.21</v>
      </c>
      <c r="L223">
        <v>6.8</v>
      </c>
      <c r="M223">
        <v>72</v>
      </c>
      <c r="N223">
        <v>116</v>
      </c>
      <c r="O223">
        <v>854</v>
      </c>
      <c r="P223" t="s">
        <v>205</v>
      </c>
      <c r="Q223" t="s">
        <v>206</v>
      </c>
      <c r="R223" s="2">
        <f>Table1[[#This Row],[Global_BoxOfficeUSD]]-Table1[[#This Row],[BudgetUSD]]</f>
        <v>16429599.210000001</v>
      </c>
      <c r="S223" s="15">
        <f>Table1[[#This Row],[Profit]]/Table1[[#This Row],[BudgetUSD]]</f>
        <v>2.1988428253151455</v>
      </c>
      <c r="T223" t="str">
        <f>IF(Table1[[#This Row],[ROI]]&gt;100%,"Hit","Flop")</f>
        <v>Hit</v>
      </c>
    </row>
    <row r="224" spans="1:20" x14ac:dyDescent="0.3">
      <c r="A224">
        <v>875</v>
      </c>
      <c r="B224" t="s">
        <v>1290</v>
      </c>
      <c r="C224" t="s">
        <v>38</v>
      </c>
      <c r="D224">
        <v>1976</v>
      </c>
      <c r="E224" s="1">
        <v>27939</v>
      </c>
      <c r="F224" t="s">
        <v>23</v>
      </c>
      <c r="G224" s="2">
        <v>4918415.93</v>
      </c>
      <c r="H224" s="2">
        <v>15806748.75</v>
      </c>
      <c r="I224" s="2">
        <v>23660489.07</v>
      </c>
      <c r="J224" s="2">
        <v>2924038.08</v>
      </c>
      <c r="K224" s="2">
        <v>6598630.1799999997</v>
      </c>
      <c r="L224">
        <v>6.1</v>
      </c>
      <c r="M224">
        <v>56</v>
      </c>
      <c r="N224">
        <v>8436</v>
      </c>
      <c r="O224">
        <v>1253</v>
      </c>
      <c r="P224" t="s">
        <v>326</v>
      </c>
      <c r="Q224" t="s">
        <v>739</v>
      </c>
      <c r="R224" s="2">
        <f>Table1[[#This Row],[Global_BoxOfficeUSD]]-Table1[[#This Row],[BudgetUSD]]</f>
        <v>18742073.140000001</v>
      </c>
      <c r="S224" s="15">
        <f>Table1[[#This Row],[Profit]]/Table1[[#This Row],[BudgetUSD]]</f>
        <v>3.810591338093686</v>
      </c>
      <c r="T224" t="str">
        <f>IF(Table1[[#This Row],[ROI]]&gt;100%,"Hit","Flop")</f>
        <v>Hit</v>
      </c>
    </row>
    <row r="225" spans="1:20" x14ac:dyDescent="0.3">
      <c r="A225">
        <v>735</v>
      </c>
      <c r="B225" t="s">
        <v>1152</v>
      </c>
      <c r="C225" t="s">
        <v>67</v>
      </c>
      <c r="D225">
        <v>2018</v>
      </c>
      <c r="E225" s="1">
        <v>43390</v>
      </c>
      <c r="F225" t="s">
        <v>23</v>
      </c>
      <c r="G225" s="2">
        <v>12147809.470000001</v>
      </c>
      <c r="H225" s="2">
        <v>12937916.220000001</v>
      </c>
      <c r="I225" s="2">
        <v>23622331.579999998</v>
      </c>
      <c r="J225" s="2">
        <v>2527090.67</v>
      </c>
      <c r="K225" s="2">
        <v>6379310.4699999997</v>
      </c>
      <c r="L225">
        <v>6</v>
      </c>
      <c r="M225">
        <v>55</v>
      </c>
      <c r="N225">
        <v>654</v>
      </c>
      <c r="O225">
        <v>388</v>
      </c>
      <c r="P225" t="s">
        <v>24</v>
      </c>
      <c r="Q225" t="s">
        <v>222</v>
      </c>
      <c r="R225" s="2">
        <f>Table1[[#This Row],[Global_BoxOfficeUSD]]-Table1[[#This Row],[BudgetUSD]]</f>
        <v>11474522.109999998</v>
      </c>
      <c r="S225" s="15">
        <f>Table1[[#This Row],[Profit]]/Table1[[#This Row],[BudgetUSD]]</f>
        <v>0.94457540994014266</v>
      </c>
      <c r="T225" t="str">
        <f>IF(Table1[[#This Row],[ROI]]&gt;100%,"Hit","Flop")</f>
        <v>Flop</v>
      </c>
    </row>
    <row r="226" spans="1:20" x14ac:dyDescent="0.3">
      <c r="A226">
        <v>335</v>
      </c>
      <c r="B226" t="s">
        <v>686</v>
      </c>
      <c r="C226" t="s">
        <v>86</v>
      </c>
      <c r="D226">
        <v>2003</v>
      </c>
      <c r="E226" s="1">
        <v>37671</v>
      </c>
      <c r="F226" t="s">
        <v>23</v>
      </c>
      <c r="G226" s="2">
        <v>6208337.29</v>
      </c>
      <c r="H226" s="2">
        <v>11859144.210000001</v>
      </c>
      <c r="I226" s="2">
        <v>23313401.989999998</v>
      </c>
      <c r="J226" s="2">
        <v>1688152.82</v>
      </c>
      <c r="K226" s="2">
        <v>6707707.7400000002</v>
      </c>
      <c r="L226">
        <v>7.2</v>
      </c>
      <c r="M226">
        <v>62</v>
      </c>
      <c r="N226">
        <v>14096</v>
      </c>
      <c r="O226">
        <v>153</v>
      </c>
      <c r="P226" t="s">
        <v>541</v>
      </c>
      <c r="Q226" t="s">
        <v>331</v>
      </c>
      <c r="R226" s="2">
        <f>Table1[[#This Row],[Global_BoxOfficeUSD]]-Table1[[#This Row],[BudgetUSD]]</f>
        <v>17105064.699999999</v>
      </c>
      <c r="S226" s="15">
        <f>Table1[[#This Row],[Profit]]/Table1[[#This Row],[BudgetUSD]]</f>
        <v>2.7551764507949277</v>
      </c>
      <c r="T226" t="str">
        <f>IF(Table1[[#This Row],[ROI]]&gt;100%,"Hit","Flop")</f>
        <v>Hit</v>
      </c>
    </row>
    <row r="227" spans="1:20" x14ac:dyDescent="0.3">
      <c r="A227">
        <v>303</v>
      </c>
      <c r="B227" t="s">
        <v>646</v>
      </c>
      <c r="C227" t="s">
        <v>33</v>
      </c>
      <c r="D227">
        <v>1977</v>
      </c>
      <c r="E227" s="1">
        <v>28458</v>
      </c>
      <c r="F227" t="s">
        <v>23</v>
      </c>
      <c r="G227" s="2">
        <v>4926470.8</v>
      </c>
      <c r="H227" s="2">
        <v>14912592.939999999</v>
      </c>
      <c r="I227" s="2">
        <v>23266987.82</v>
      </c>
      <c r="J227" s="2">
        <v>3147576.06</v>
      </c>
      <c r="K227" s="2">
        <v>6369821.29</v>
      </c>
      <c r="L227">
        <v>6.9</v>
      </c>
      <c r="M227">
        <v>57</v>
      </c>
      <c r="N227">
        <v>2588</v>
      </c>
      <c r="O227">
        <v>3598</v>
      </c>
      <c r="P227" t="s">
        <v>252</v>
      </c>
      <c r="Q227" t="s">
        <v>476</v>
      </c>
      <c r="R227" s="2">
        <f>Table1[[#This Row],[Global_BoxOfficeUSD]]-Table1[[#This Row],[BudgetUSD]]</f>
        <v>18340517.02</v>
      </c>
      <c r="S227" s="15">
        <f>Table1[[#This Row],[Profit]]/Table1[[#This Row],[BudgetUSD]]</f>
        <v>3.7228510559729697</v>
      </c>
      <c r="T227" t="str">
        <f>IF(Table1[[#This Row],[ROI]]&gt;100%,"Hit","Flop")</f>
        <v>Hit</v>
      </c>
    </row>
    <row r="228" spans="1:20" x14ac:dyDescent="0.3">
      <c r="A228">
        <v>313</v>
      </c>
      <c r="B228" t="s">
        <v>657</v>
      </c>
      <c r="C228" t="s">
        <v>18</v>
      </c>
      <c r="D228">
        <v>2008</v>
      </c>
      <c r="E228" s="1">
        <v>39764</v>
      </c>
      <c r="F228" t="s">
        <v>34</v>
      </c>
      <c r="G228" s="2">
        <v>17985593.969999999</v>
      </c>
      <c r="H228" s="2">
        <v>13159200.970000001</v>
      </c>
      <c r="I228" s="2">
        <v>23261226.289999999</v>
      </c>
      <c r="J228" s="2">
        <v>2556561.11</v>
      </c>
      <c r="K228" s="2">
        <v>5346198.55</v>
      </c>
      <c r="L228">
        <v>7.5</v>
      </c>
      <c r="M228">
        <v>78</v>
      </c>
      <c r="N228">
        <v>40896</v>
      </c>
      <c r="O228">
        <v>131</v>
      </c>
      <c r="P228" t="s">
        <v>658</v>
      </c>
      <c r="Q228" t="s">
        <v>247</v>
      </c>
      <c r="R228" s="2">
        <f>Table1[[#This Row],[Global_BoxOfficeUSD]]-Table1[[#This Row],[BudgetUSD]]</f>
        <v>5275632.32</v>
      </c>
      <c r="S228" s="15">
        <f>Table1[[#This Row],[Profit]]/Table1[[#This Row],[BudgetUSD]]</f>
        <v>0.29332544306291825</v>
      </c>
      <c r="T228" t="str">
        <f>IF(Table1[[#This Row],[ROI]]&gt;100%,"Hit","Flop")</f>
        <v>Flop</v>
      </c>
    </row>
    <row r="229" spans="1:20" x14ac:dyDescent="0.3">
      <c r="A229">
        <v>249</v>
      </c>
      <c r="B229" t="s">
        <v>568</v>
      </c>
      <c r="C229" t="s">
        <v>107</v>
      </c>
      <c r="D229">
        <v>1997</v>
      </c>
      <c r="E229" s="1">
        <v>35654</v>
      </c>
      <c r="F229" t="s">
        <v>23</v>
      </c>
      <c r="G229" s="2">
        <v>5257408.13</v>
      </c>
      <c r="H229" s="2">
        <v>12582721.800000001</v>
      </c>
      <c r="I229" s="2">
        <v>23219380.149999999</v>
      </c>
      <c r="J229" s="2">
        <v>3765554.94</v>
      </c>
      <c r="K229" s="2">
        <v>6657617.9800000004</v>
      </c>
      <c r="L229">
        <v>7.7</v>
      </c>
      <c r="M229">
        <v>71</v>
      </c>
      <c r="N229">
        <v>10605</v>
      </c>
      <c r="O229">
        <v>1164</v>
      </c>
      <c r="P229" t="s">
        <v>117</v>
      </c>
      <c r="Q229" t="s">
        <v>569</v>
      </c>
      <c r="R229" s="2">
        <f>Table1[[#This Row],[Global_BoxOfficeUSD]]-Table1[[#This Row],[BudgetUSD]]</f>
        <v>17961972.02</v>
      </c>
      <c r="S229" s="15">
        <f>Table1[[#This Row],[Profit]]/Table1[[#This Row],[BudgetUSD]]</f>
        <v>3.4165070650507019</v>
      </c>
      <c r="T229" t="str">
        <f>IF(Table1[[#This Row],[ROI]]&gt;100%,"Hit","Flop")</f>
        <v>Hit</v>
      </c>
    </row>
    <row r="230" spans="1:20" x14ac:dyDescent="0.3">
      <c r="A230">
        <v>474</v>
      </c>
      <c r="B230" t="s">
        <v>870</v>
      </c>
      <c r="C230" t="s">
        <v>67</v>
      </c>
      <c r="D230">
        <v>1987</v>
      </c>
      <c r="E230" s="1">
        <v>31920</v>
      </c>
      <c r="F230" t="s">
        <v>23</v>
      </c>
      <c r="G230" s="2">
        <v>8425653.9700000007</v>
      </c>
      <c r="H230" s="2">
        <v>14404602.67</v>
      </c>
      <c r="I230" s="2">
        <v>23149503.440000001</v>
      </c>
      <c r="J230" s="2">
        <v>1667852.83</v>
      </c>
      <c r="K230" s="2">
        <v>7266345.5099999998</v>
      </c>
      <c r="L230">
        <v>8.4</v>
      </c>
      <c r="M230">
        <v>68</v>
      </c>
      <c r="N230">
        <v>3208</v>
      </c>
      <c r="O230">
        <v>301</v>
      </c>
      <c r="P230" t="s">
        <v>55</v>
      </c>
      <c r="Q230" t="s">
        <v>871</v>
      </c>
      <c r="R230" s="2">
        <f>Table1[[#This Row],[Global_BoxOfficeUSD]]-Table1[[#This Row],[BudgetUSD]]</f>
        <v>14723849.470000001</v>
      </c>
      <c r="S230" s="15">
        <f>Table1[[#This Row],[Profit]]/Table1[[#This Row],[BudgetUSD]]</f>
        <v>1.7475022737018477</v>
      </c>
      <c r="T230" t="str">
        <f>IF(Table1[[#This Row],[ROI]]&gt;100%,"Hit","Flop")</f>
        <v>Hit</v>
      </c>
    </row>
    <row r="231" spans="1:20" x14ac:dyDescent="0.3">
      <c r="A231">
        <v>823</v>
      </c>
      <c r="B231" t="s">
        <v>1204</v>
      </c>
      <c r="C231" t="s">
        <v>18</v>
      </c>
      <c r="D231">
        <v>1996</v>
      </c>
      <c r="E231" s="1">
        <v>35414</v>
      </c>
      <c r="F231" t="s">
        <v>139</v>
      </c>
      <c r="G231" s="2">
        <v>5709304.7199999997</v>
      </c>
      <c r="H231" s="2">
        <v>14632535.550000001</v>
      </c>
      <c r="I231" s="2">
        <v>23039563.34</v>
      </c>
      <c r="J231" s="2">
        <v>1603353.62</v>
      </c>
      <c r="K231" s="2">
        <v>7472109.9100000001</v>
      </c>
      <c r="L231">
        <v>6.9</v>
      </c>
      <c r="M231">
        <v>75</v>
      </c>
      <c r="N231">
        <v>24517</v>
      </c>
      <c r="O231">
        <v>719</v>
      </c>
      <c r="P231" t="s">
        <v>380</v>
      </c>
      <c r="Q231" t="s">
        <v>347</v>
      </c>
      <c r="R231" s="2">
        <f>Table1[[#This Row],[Global_BoxOfficeUSD]]-Table1[[#This Row],[BudgetUSD]]</f>
        <v>17330258.620000001</v>
      </c>
      <c r="S231" s="15">
        <f>Table1[[#This Row],[Profit]]/Table1[[#This Row],[BudgetUSD]]</f>
        <v>3.0354411736496001</v>
      </c>
      <c r="T231" t="str">
        <f>IF(Table1[[#This Row],[ROI]]&gt;100%,"Hit","Flop")</f>
        <v>Hit</v>
      </c>
    </row>
    <row r="232" spans="1:20" x14ac:dyDescent="0.3">
      <c r="A232">
        <v>949</v>
      </c>
      <c r="B232" t="s">
        <v>1358</v>
      </c>
      <c r="C232" t="s">
        <v>67</v>
      </c>
      <c r="D232">
        <v>2005</v>
      </c>
      <c r="E232" s="1">
        <v>38638</v>
      </c>
      <c r="F232" t="s">
        <v>23</v>
      </c>
      <c r="G232" s="2">
        <v>5112889.9000000004</v>
      </c>
      <c r="H232" s="2">
        <v>14465522.41</v>
      </c>
      <c r="I232" s="2">
        <v>23029556.59</v>
      </c>
      <c r="J232" s="2">
        <v>3486022.29</v>
      </c>
      <c r="K232" s="2">
        <v>6360740.5099999998</v>
      </c>
      <c r="L232">
        <v>6.3</v>
      </c>
      <c r="M232">
        <v>50</v>
      </c>
      <c r="N232">
        <v>2172</v>
      </c>
      <c r="O232">
        <v>942</v>
      </c>
      <c r="P232" t="s">
        <v>386</v>
      </c>
      <c r="Q232" t="s">
        <v>198</v>
      </c>
      <c r="R232" s="2">
        <f>Table1[[#This Row],[Global_BoxOfficeUSD]]-Table1[[#This Row],[BudgetUSD]]</f>
        <v>17916666.689999998</v>
      </c>
      <c r="S232" s="15">
        <f>Table1[[#This Row],[Profit]]/Table1[[#This Row],[BudgetUSD]]</f>
        <v>3.5042152364751677</v>
      </c>
      <c r="T232" t="str">
        <f>IF(Table1[[#This Row],[ROI]]&gt;100%,"Hit","Flop")</f>
        <v>Hit</v>
      </c>
    </row>
    <row r="233" spans="1:20" x14ac:dyDescent="0.3">
      <c r="A233">
        <v>414</v>
      </c>
      <c r="B233" t="s">
        <v>795</v>
      </c>
      <c r="C233" t="s">
        <v>45</v>
      </c>
      <c r="D233">
        <v>1987</v>
      </c>
      <c r="E233" s="1">
        <v>31829</v>
      </c>
      <c r="F233" t="s">
        <v>23</v>
      </c>
      <c r="G233" s="2">
        <v>8861375.1899999995</v>
      </c>
      <c r="H233" s="2">
        <v>13254377.779999999</v>
      </c>
      <c r="I233" s="2">
        <v>23029294.809999999</v>
      </c>
      <c r="J233" s="2">
        <v>2658971.2799999998</v>
      </c>
      <c r="K233" s="2">
        <v>6782757.3499999996</v>
      </c>
      <c r="L233">
        <v>5.3</v>
      </c>
      <c r="M233">
        <v>65</v>
      </c>
      <c r="N233">
        <v>9388</v>
      </c>
      <c r="O233">
        <v>50</v>
      </c>
      <c r="P233" t="s">
        <v>450</v>
      </c>
      <c r="Q233" t="s">
        <v>349</v>
      </c>
      <c r="R233" s="2">
        <f>Table1[[#This Row],[Global_BoxOfficeUSD]]-Table1[[#This Row],[BudgetUSD]]</f>
        <v>14167919.619999999</v>
      </c>
      <c r="S233" s="15">
        <f>Table1[[#This Row],[Profit]]/Table1[[#This Row],[BudgetUSD]]</f>
        <v>1.5988398319922621</v>
      </c>
      <c r="T233" t="str">
        <f>IF(Table1[[#This Row],[ROI]]&gt;100%,"Hit","Flop")</f>
        <v>Hit</v>
      </c>
    </row>
    <row r="234" spans="1:20" x14ac:dyDescent="0.3">
      <c r="A234">
        <v>675</v>
      </c>
      <c r="B234" t="s">
        <v>983</v>
      </c>
      <c r="C234" t="s">
        <v>18</v>
      </c>
      <c r="D234">
        <v>1965</v>
      </c>
      <c r="E234" s="1">
        <v>23887</v>
      </c>
      <c r="F234" t="s">
        <v>249</v>
      </c>
      <c r="G234" s="2">
        <v>7874426.0899999999</v>
      </c>
      <c r="H234" s="2">
        <v>12344758.26</v>
      </c>
      <c r="I234" s="2">
        <v>22922334.199999999</v>
      </c>
      <c r="J234" s="2">
        <v>1305824.3799999999</v>
      </c>
      <c r="K234" s="2">
        <v>5756722.0999999996</v>
      </c>
      <c r="L234">
        <v>9.1999999999999993</v>
      </c>
      <c r="M234">
        <v>89</v>
      </c>
      <c r="N234">
        <v>760</v>
      </c>
      <c r="O234">
        <v>188</v>
      </c>
      <c r="P234" t="s">
        <v>224</v>
      </c>
      <c r="Q234" t="s">
        <v>810</v>
      </c>
      <c r="R234" s="2">
        <f>Table1[[#This Row],[Global_BoxOfficeUSD]]-Table1[[#This Row],[BudgetUSD]]</f>
        <v>15047908.109999999</v>
      </c>
      <c r="S234" s="15">
        <f>Table1[[#This Row],[Profit]]/Table1[[#This Row],[BudgetUSD]]</f>
        <v>1.9109847420004167</v>
      </c>
      <c r="T234" t="str">
        <f>IF(Table1[[#This Row],[ROI]]&gt;100%,"Hit","Flop")</f>
        <v>Hit</v>
      </c>
    </row>
    <row r="235" spans="1:20" x14ac:dyDescent="0.3">
      <c r="A235">
        <v>533</v>
      </c>
      <c r="B235" t="s">
        <v>941</v>
      </c>
      <c r="C235" t="s">
        <v>77</v>
      </c>
      <c r="D235">
        <v>1997</v>
      </c>
      <c r="E235" s="1">
        <v>35561</v>
      </c>
      <c r="F235" t="s">
        <v>23</v>
      </c>
      <c r="G235" s="2">
        <v>5163088.6100000003</v>
      </c>
      <c r="H235" s="2">
        <v>15591430.49</v>
      </c>
      <c r="I235" s="2">
        <v>22862752.399999999</v>
      </c>
      <c r="J235" s="2">
        <v>4446667.0599999996</v>
      </c>
      <c r="K235" s="2">
        <v>6441327.0099999998</v>
      </c>
      <c r="L235">
        <v>8.3000000000000007</v>
      </c>
      <c r="M235">
        <v>90</v>
      </c>
      <c r="N235">
        <v>9058</v>
      </c>
      <c r="O235">
        <v>780</v>
      </c>
      <c r="P235" t="s">
        <v>351</v>
      </c>
      <c r="Q235" t="s">
        <v>758</v>
      </c>
      <c r="R235" s="2">
        <f>Table1[[#This Row],[Global_BoxOfficeUSD]]-Table1[[#This Row],[BudgetUSD]]</f>
        <v>17699663.789999999</v>
      </c>
      <c r="S235" s="15">
        <f>Table1[[#This Row],[Profit]]/Table1[[#This Row],[BudgetUSD]]</f>
        <v>3.4281154415438162</v>
      </c>
      <c r="T235" t="str">
        <f>IF(Table1[[#This Row],[ROI]]&gt;100%,"Hit","Flop")</f>
        <v>Hit</v>
      </c>
    </row>
    <row r="236" spans="1:20" x14ac:dyDescent="0.3">
      <c r="A236">
        <v>686</v>
      </c>
      <c r="B236" t="s">
        <v>1105</v>
      </c>
      <c r="C236" t="s">
        <v>67</v>
      </c>
      <c r="D236">
        <v>2021</v>
      </c>
      <c r="E236" s="1">
        <v>44528</v>
      </c>
      <c r="F236" t="s">
        <v>23</v>
      </c>
      <c r="G236" s="2">
        <v>9202342.3800000008</v>
      </c>
      <c r="H236" s="2">
        <v>14713323.609999999</v>
      </c>
      <c r="I236" s="2">
        <v>22749199.359999999</v>
      </c>
      <c r="J236" s="2">
        <v>2639941.63</v>
      </c>
      <c r="K236" s="2">
        <v>7066853</v>
      </c>
      <c r="L236">
        <v>5.5</v>
      </c>
      <c r="M236">
        <v>64</v>
      </c>
      <c r="N236">
        <v>2687</v>
      </c>
      <c r="O236">
        <v>987</v>
      </c>
      <c r="P236" t="s">
        <v>393</v>
      </c>
      <c r="Q236" t="s">
        <v>137</v>
      </c>
      <c r="R236" s="2">
        <f>Table1[[#This Row],[Global_BoxOfficeUSD]]-Table1[[#This Row],[BudgetUSD]]</f>
        <v>13546856.979999999</v>
      </c>
      <c r="S236" s="15">
        <f>Table1[[#This Row],[Profit]]/Table1[[#This Row],[BudgetUSD]]</f>
        <v>1.472109645631333</v>
      </c>
      <c r="T236" t="str">
        <f>IF(Table1[[#This Row],[ROI]]&gt;100%,"Hit","Flop")</f>
        <v>Hit</v>
      </c>
    </row>
    <row r="237" spans="1:20" x14ac:dyDescent="0.3">
      <c r="A237">
        <v>995</v>
      </c>
      <c r="B237" t="s">
        <v>1405</v>
      </c>
      <c r="C237" t="s">
        <v>86</v>
      </c>
      <c r="D237">
        <v>1997</v>
      </c>
      <c r="E237" s="1">
        <v>35619</v>
      </c>
      <c r="F237" t="s">
        <v>23</v>
      </c>
      <c r="G237" s="2">
        <v>7604420.4199999999</v>
      </c>
      <c r="H237" s="2">
        <v>12011106.77</v>
      </c>
      <c r="I237" s="2">
        <v>22676772.57</v>
      </c>
      <c r="J237" s="2">
        <v>1565293.09</v>
      </c>
      <c r="K237" s="2">
        <v>7163272.8399999999</v>
      </c>
      <c r="L237">
        <v>6.6</v>
      </c>
      <c r="M237">
        <v>54</v>
      </c>
      <c r="N237">
        <v>999</v>
      </c>
      <c r="O237">
        <v>185</v>
      </c>
      <c r="P237" t="s">
        <v>307</v>
      </c>
      <c r="Q237" t="s">
        <v>890</v>
      </c>
      <c r="R237" s="2">
        <f>Table1[[#This Row],[Global_BoxOfficeUSD]]-Table1[[#This Row],[BudgetUSD]]</f>
        <v>15072352.15</v>
      </c>
      <c r="S237" s="15">
        <f>Table1[[#This Row],[Profit]]/Table1[[#This Row],[BudgetUSD]]</f>
        <v>1.9820514013611048</v>
      </c>
      <c r="T237" t="str">
        <f>IF(Table1[[#This Row],[ROI]]&gt;100%,"Hit","Flop")</f>
        <v>Hit</v>
      </c>
    </row>
    <row r="238" spans="1:20" x14ac:dyDescent="0.3">
      <c r="A238">
        <v>377</v>
      </c>
      <c r="B238" t="s">
        <v>744</v>
      </c>
      <c r="C238" t="s">
        <v>86</v>
      </c>
      <c r="D238">
        <v>2017</v>
      </c>
      <c r="E238" s="1">
        <v>42995</v>
      </c>
      <c r="F238" t="s">
        <v>23</v>
      </c>
      <c r="G238" s="2">
        <v>5000453.0199999996</v>
      </c>
      <c r="H238" s="2">
        <v>9848042.3599999994</v>
      </c>
      <c r="I238" s="2">
        <v>22609012.899999999</v>
      </c>
      <c r="J238" s="2">
        <v>1955720.07</v>
      </c>
      <c r="K238" s="2">
        <v>5054480.34</v>
      </c>
      <c r="L238">
        <v>7.1</v>
      </c>
      <c r="M238">
        <v>81</v>
      </c>
      <c r="N238">
        <v>1565</v>
      </c>
      <c r="O238">
        <v>325</v>
      </c>
      <c r="P238" t="s">
        <v>46</v>
      </c>
      <c r="Q238" t="s">
        <v>745</v>
      </c>
      <c r="R238" s="2">
        <f>Table1[[#This Row],[Global_BoxOfficeUSD]]-Table1[[#This Row],[BudgetUSD]]</f>
        <v>17608559.879999999</v>
      </c>
      <c r="S238" s="15">
        <f>Table1[[#This Row],[Profit]]/Table1[[#This Row],[BudgetUSD]]</f>
        <v>3.5213929237155397</v>
      </c>
      <c r="T238" t="str">
        <f>IF(Table1[[#This Row],[ROI]]&gt;100%,"Hit","Flop")</f>
        <v>Hit</v>
      </c>
    </row>
    <row r="239" spans="1:20" x14ac:dyDescent="0.3">
      <c r="A239">
        <v>158</v>
      </c>
      <c r="B239" t="s">
        <v>407</v>
      </c>
      <c r="C239" t="s">
        <v>38</v>
      </c>
      <c r="D239">
        <v>1998</v>
      </c>
      <c r="E239" s="1">
        <v>36062</v>
      </c>
      <c r="F239" t="s">
        <v>23</v>
      </c>
      <c r="G239" s="2">
        <v>6148180.0499999998</v>
      </c>
      <c r="H239" s="2">
        <v>11936014.34</v>
      </c>
      <c r="I239" s="2">
        <v>22421349.620000001</v>
      </c>
      <c r="J239" s="2">
        <v>3514004.73</v>
      </c>
      <c r="K239" s="2">
        <v>7123630.7000000002</v>
      </c>
      <c r="L239">
        <v>7</v>
      </c>
      <c r="M239">
        <v>77</v>
      </c>
      <c r="N239">
        <v>1813</v>
      </c>
      <c r="O239">
        <v>763</v>
      </c>
      <c r="P239" t="s">
        <v>123</v>
      </c>
      <c r="Q239" t="s">
        <v>408</v>
      </c>
      <c r="R239" s="2">
        <f>Table1[[#This Row],[Global_BoxOfficeUSD]]-Table1[[#This Row],[BudgetUSD]]</f>
        <v>16273169.57</v>
      </c>
      <c r="S239" s="15">
        <f>Table1[[#This Row],[Profit]]/Table1[[#This Row],[BudgetUSD]]</f>
        <v>2.6468270996715524</v>
      </c>
      <c r="T239" t="str">
        <f>IF(Table1[[#This Row],[ROI]]&gt;100%,"Hit","Flop")</f>
        <v>Hit</v>
      </c>
    </row>
    <row r="240" spans="1:20" x14ac:dyDescent="0.3">
      <c r="A240">
        <v>468</v>
      </c>
      <c r="B240" t="s">
        <v>862</v>
      </c>
      <c r="C240" t="s">
        <v>45</v>
      </c>
      <c r="D240">
        <v>2018</v>
      </c>
      <c r="E240" s="1">
        <v>43187</v>
      </c>
      <c r="F240" t="s">
        <v>23</v>
      </c>
      <c r="G240" s="2">
        <v>13012089.49</v>
      </c>
      <c r="H240" s="2">
        <v>12883281.029999999</v>
      </c>
      <c r="I240" s="2">
        <v>22408135.890000001</v>
      </c>
      <c r="J240" s="2">
        <v>2184865.7200000002</v>
      </c>
      <c r="K240" s="2">
        <v>7419331.5899999999</v>
      </c>
      <c r="L240">
        <v>5.4</v>
      </c>
      <c r="M240">
        <v>46</v>
      </c>
      <c r="N240">
        <v>3269</v>
      </c>
      <c r="O240">
        <v>65</v>
      </c>
      <c r="P240" t="s">
        <v>500</v>
      </c>
      <c r="Q240" t="s">
        <v>150</v>
      </c>
      <c r="R240" s="2">
        <f>Table1[[#This Row],[Global_BoxOfficeUSD]]-Table1[[#This Row],[BudgetUSD]]</f>
        <v>9396046.4000000004</v>
      </c>
      <c r="S240" s="15">
        <f>Table1[[#This Row],[Profit]]/Table1[[#This Row],[BudgetUSD]]</f>
        <v>0.7221012741436349</v>
      </c>
      <c r="T240" t="str">
        <f>IF(Table1[[#This Row],[ROI]]&gt;100%,"Hit","Flop")</f>
        <v>Flop</v>
      </c>
    </row>
    <row r="241" spans="1:20" x14ac:dyDescent="0.3">
      <c r="A241">
        <v>336</v>
      </c>
      <c r="B241" t="s">
        <v>687</v>
      </c>
      <c r="C241" t="s">
        <v>86</v>
      </c>
      <c r="D241">
        <v>1979</v>
      </c>
      <c r="E241" s="1">
        <v>28862</v>
      </c>
      <c r="F241" t="s">
        <v>23</v>
      </c>
      <c r="G241" s="2">
        <v>15510741.58</v>
      </c>
      <c r="H241" s="2">
        <v>9628134.6099999994</v>
      </c>
      <c r="I241" s="2">
        <v>22289534.27</v>
      </c>
      <c r="J241" s="2">
        <v>1079256.9099999999</v>
      </c>
      <c r="K241" s="2">
        <v>3893903.18</v>
      </c>
      <c r="L241">
        <v>10</v>
      </c>
      <c r="M241">
        <v>100</v>
      </c>
      <c r="N241">
        <v>8371</v>
      </c>
      <c r="O241">
        <v>334</v>
      </c>
      <c r="P241" t="s">
        <v>202</v>
      </c>
      <c r="Q241" t="s">
        <v>115</v>
      </c>
      <c r="R241" s="2">
        <f>Table1[[#This Row],[Global_BoxOfficeUSD]]-Table1[[#This Row],[BudgetUSD]]</f>
        <v>6778792.6899999995</v>
      </c>
      <c r="S241" s="15">
        <f>Table1[[#This Row],[Profit]]/Table1[[#This Row],[BudgetUSD]]</f>
        <v>0.43703859386973293</v>
      </c>
      <c r="T241" t="str">
        <f>IF(Table1[[#This Row],[ROI]]&gt;100%,"Hit","Flop")</f>
        <v>Flop</v>
      </c>
    </row>
    <row r="242" spans="1:20" x14ac:dyDescent="0.3">
      <c r="A242">
        <v>354</v>
      </c>
      <c r="B242" t="s">
        <v>710</v>
      </c>
      <c r="C242" t="s">
        <v>67</v>
      </c>
      <c r="D242">
        <v>1986</v>
      </c>
      <c r="E242" s="1">
        <v>31563</v>
      </c>
      <c r="F242" t="s">
        <v>23</v>
      </c>
      <c r="G242" s="2">
        <v>5470744.2400000002</v>
      </c>
      <c r="H242" s="2">
        <v>9494280.5099999998</v>
      </c>
      <c r="I242" s="2">
        <v>22271027.370000001</v>
      </c>
      <c r="J242" s="2">
        <v>2634558.94</v>
      </c>
      <c r="K242" s="2">
        <v>5615652.1100000003</v>
      </c>
      <c r="L242">
        <v>6.3</v>
      </c>
      <c r="M242">
        <v>51</v>
      </c>
      <c r="N242">
        <v>4032</v>
      </c>
      <c r="O242">
        <v>753</v>
      </c>
      <c r="P242" t="s">
        <v>46</v>
      </c>
      <c r="Q242" t="s">
        <v>559</v>
      </c>
      <c r="R242" s="2">
        <f>Table1[[#This Row],[Global_BoxOfficeUSD]]-Table1[[#This Row],[BudgetUSD]]</f>
        <v>16800283.130000003</v>
      </c>
      <c r="S242" s="15">
        <f>Table1[[#This Row],[Profit]]/Table1[[#This Row],[BudgetUSD]]</f>
        <v>3.070931923149089</v>
      </c>
      <c r="T242" t="str">
        <f>IF(Table1[[#This Row],[ROI]]&gt;100%,"Hit","Flop")</f>
        <v>Hit</v>
      </c>
    </row>
    <row r="243" spans="1:20" x14ac:dyDescent="0.3">
      <c r="A243">
        <v>369</v>
      </c>
      <c r="B243" t="s">
        <v>734</v>
      </c>
      <c r="C243" t="s">
        <v>38</v>
      </c>
      <c r="D243">
        <v>1964</v>
      </c>
      <c r="E243" s="1">
        <v>23692</v>
      </c>
      <c r="F243" t="s">
        <v>34</v>
      </c>
      <c r="G243" s="2">
        <v>4876699.5</v>
      </c>
      <c r="H243" s="2">
        <v>12704160.09</v>
      </c>
      <c r="I243" s="2">
        <v>22256778.09</v>
      </c>
      <c r="J243" s="2">
        <v>3371543.01</v>
      </c>
      <c r="K243" s="2">
        <v>7587906.0599999996</v>
      </c>
      <c r="L243">
        <v>8.8000000000000007</v>
      </c>
      <c r="M243">
        <v>72</v>
      </c>
      <c r="N243">
        <v>59972</v>
      </c>
      <c r="O243">
        <v>110</v>
      </c>
      <c r="P243" t="s">
        <v>227</v>
      </c>
      <c r="Q243" t="s">
        <v>314</v>
      </c>
      <c r="R243" s="2">
        <f>Table1[[#This Row],[Global_BoxOfficeUSD]]-Table1[[#This Row],[BudgetUSD]]</f>
        <v>17380078.59</v>
      </c>
      <c r="S243" s="15">
        <f>Table1[[#This Row],[Profit]]/Table1[[#This Row],[BudgetUSD]]</f>
        <v>3.5639018951239461</v>
      </c>
      <c r="T243" t="str">
        <f>IF(Table1[[#This Row],[ROI]]&gt;100%,"Hit","Flop")</f>
        <v>Hit</v>
      </c>
    </row>
    <row r="244" spans="1:20" x14ac:dyDescent="0.3">
      <c r="A244">
        <v>584</v>
      </c>
      <c r="B244" t="s">
        <v>339</v>
      </c>
      <c r="C244" t="s">
        <v>38</v>
      </c>
      <c r="D244">
        <v>2023</v>
      </c>
      <c r="E244" s="1">
        <v>45251</v>
      </c>
      <c r="F244" t="s">
        <v>23</v>
      </c>
      <c r="G244" s="2">
        <v>4986615.53</v>
      </c>
      <c r="H244" s="2">
        <v>10818182.35</v>
      </c>
      <c r="I244" s="2">
        <v>22001432.77</v>
      </c>
      <c r="J244" s="2">
        <v>2479447.9900000002</v>
      </c>
      <c r="K244" s="2">
        <v>5683582.0199999996</v>
      </c>
      <c r="L244">
        <v>5.5</v>
      </c>
      <c r="M244">
        <v>69</v>
      </c>
      <c r="N244">
        <v>22205</v>
      </c>
      <c r="O244">
        <v>173</v>
      </c>
      <c r="P244" t="s">
        <v>216</v>
      </c>
      <c r="Q244" t="s">
        <v>170</v>
      </c>
      <c r="R244" s="2">
        <f>Table1[[#This Row],[Global_BoxOfficeUSD]]-Table1[[#This Row],[BudgetUSD]]</f>
        <v>17014817.239999998</v>
      </c>
      <c r="S244" s="15">
        <f>Table1[[#This Row],[Profit]]/Table1[[#This Row],[BudgetUSD]]</f>
        <v>3.4120972707113832</v>
      </c>
      <c r="T244" t="str">
        <f>IF(Table1[[#This Row],[ROI]]&gt;100%,"Hit","Flop")</f>
        <v>Hit</v>
      </c>
    </row>
    <row r="245" spans="1:20" x14ac:dyDescent="0.3">
      <c r="A245">
        <v>930</v>
      </c>
      <c r="B245" t="s">
        <v>1337</v>
      </c>
      <c r="C245" t="s">
        <v>67</v>
      </c>
      <c r="D245">
        <v>1976</v>
      </c>
      <c r="E245" s="1">
        <v>28112</v>
      </c>
      <c r="F245" t="s">
        <v>23</v>
      </c>
      <c r="G245" s="2">
        <v>21881346.75</v>
      </c>
      <c r="H245" s="2">
        <v>9379089.4199999999</v>
      </c>
      <c r="I245" s="2">
        <v>21881346.75</v>
      </c>
      <c r="J245" s="2">
        <v>2076367.63</v>
      </c>
      <c r="K245" s="2">
        <v>3991499.61</v>
      </c>
      <c r="L245">
        <v>8.1</v>
      </c>
      <c r="M245">
        <v>75</v>
      </c>
      <c r="N245">
        <v>1510</v>
      </c>
      <c r="O245">
        <v>1523</v>
      </c>
      <c r="P245" t="s">
        <v>450</v>
      </c>
      <c r="Q245" t="s">
        <v>322</v>
      </c>
      <c r="R245" s="2">
        <f>Table1[[#This Row],[Global_BoxOfficeUSD]]-Table1[[#This Row],[BudgetUSD]]</f>
        <v>0</v>
      </c>
      <c r="S245" s="15">
        <f>Table1[[#This Row],[Profit]]/Table1[[#This Row],[BudgetUSD]]</f>
        <v>0</v>
      </c>
      <c r="T245" t="str">
        <f>IF(Table1[[#This Row],[ROI]]&gt;100%,"Hit","Flop")</f>
        <v>Flop</v>
      </c>
    </row>
    <row r="246" spans="1:20" x14ac:dyDescent="0.3">
      <c r="A246">
        <v>646</v>
      </c>
      <c r="B246" t="s">
        <v>1066</v>
      </c>
      <c r="C246" t="s">
        <v>38</v>
      </c>
      <c r="D246">
        <v>1983</v>
      </c>
      <c r="E246" s="1">
        <v>30609</v>
      </c>
      <c r="F246" t="s">
        <v>23</v>
      </c>
      <c r="G246" s="2">
        <v>9008398.4199999999</v>
      </c>
      <c r="H246" s="2">
        <v>13054440.26</v>
      </c>
      <c r="I246" s="2">
        <v>21683032.170000002</v>
      </c>
      <c r="J246" s="2">
        <v>2956516.26</v>
      </c>
      <c r="K246" s="2">
        <v>5926443.8600000003</v>
      </c>
      <c r="L246">
        <v>5.8</v>
      </c>
      <c r="M246">
        <v>62</v>
      </c>
      <c r="N246">
        <v>11262</v>
      </c>
      <c r="O246">
        <v>140</v>
      </c>
      <c r="P246" t="s">
        <v>30</v>
      </c>
      <c r="Q246" t="s">
        <v>100</v>
      </c>
      <c r="R246" s="2">
        <f>Table1[[#This Row],[Global_BoxOfficeUSD]]-Table1[[#This Row],[BudgetUSD]]</f>
        <v>12674633.750000002</v>
      </c>
      <c r="S246" s="15">
        <f>Table1[[#This Row],[Profit]]/Table1[[#This Row],[BudgetUSD]]</f>
        <v>1.4069797048341477</v>
      </c>
      <c r="T246" t="str">
        <f>IF(Table1[[#This Row],[ROI]]&gt;100%,"Hit","Flop")</f>
        <v>Hit</v>
      </c>
    </row>
    <row r="247" spans="1:20" x14ac:dyDescent="0.3">
      <c r="A247">
        <v>361</v>
      </c>
      <c r="B247" t="s">
        <v>721</v>
      </c>
      <c r="C247" t="s">
        <v>45</v>
      </c>
      <c r="D247">
        <v>2020</v>
      </c>
      <c r="E247" s="1">
        <v>43910</v>
      </c>
      <c r="F247" t="s">
        <v>23</v>
      </c>
      <c r="G247" s="2">
        <v>16111777.289999999</v>
      </c>
      <c r="H247" s="2">
        <v>10854054.470000001</v>
      </c>
      <c r="I247" s="2">
        <v>21649186.109999999</v>
      </c>
      <c r="J247" s="2">
        <v>2358559.2999999998</v>
      </c>
      <c r="K247" s="2">
        <v>5542687.3899999997</v>
      </c>
      <c r="L247">
        <v>4.8</v>
      </c>
      <c r="M247">
        <v>37</v>
      </c>
      <c r="N247">
        <v>871</v>
      </c>
      <c r="O247">
        <v>9208</v>
      </c>
      <c r="P247" t="s">
        <v>490</v>
      </c>
      <c r="Q247" t="s">
        <v>722</v>
      </c>
      <c r="R247" s="2">
        <f>Table1[[#This Row],[Global_BoxOfficeUSD]]-Table1[[#This Row],[BudgetUSD]]</f>
        <v>5537408.8200000003</v>
      </c>
      <c r="S247" s="15">
        <f>Table1[[#This Row],[Profit]]/Table1[[#This Row],[BudgetUSD]]</f>
        <v>0.34368702597675993</v>
      </c>
      <c r="T247" t="str">
        <f>IF(Table1[[#This Row],[ROI]]&gt;100%,"Hit","Flop")</f>
        <v>Flop</v>
      </c>
    </row>
    <row r="248" spans="1:20" x14ac:dyDescent="0.3">
      <c r="A248">
        <v>178</v>
      </c>
      <c r="B248" t="s">
        <v>452</v>
      </c>
      <c r="C248" t="s">
        <v>67</v>
      </c>
      <c r="D248">
        <v>1999</v>
      </c>
      <c r="E248" s="1">
        <v>36501</v>
      </c>
      <c r="F248" t="s">
        <v>23</v>
      </c>
      <c r="G248" s="2">
        <v>9443732.25</v>
      </c>
      <c r="H248" s="2">
        <v>14640426.310000001</v>
      </c>
      <c r="I248" s="2">
        <v>21625137.68</v>
      </c>
      <c r="J248" s="2">
        <v>3188650.26</v>
      </c>
      <c r="K248" s="2">
        <v>8522680.9600000009</v>
      </c>
      <c r="L248">
        <v>6.7</v>
      </c>
      <c r="M248">
        <v>58</v>
      </c>
      <c r="N248">
        <v>6989</v>
      </c>
      <c r="O248">
        <v>50</v>
      </c>
      <c r="P248" t="s">
        <v>453</v>
      </c>
      <c r="Q248" t="s">
        <v>399</v>
      </c>
      <c r="R248" s="2">
        <f>Table1[[#This Row],[Global_BoxOfficeUSD]]-Table1[[#This Row],[BudgetUSD]]</f>
        <v>12181405.43</v>
      </c>
      <c r="S248" s="15">
        <f>Table1[[#This Row],[Profit]]/Table1[[#This Row],[BudgetUSD]]</f>
        <v>1.2898931383828676</v>
      </c>
      <c r="T248" t="str">
        <f>IF(Table1[[#This Row],[ROI]]&gt;100%,"Hit","Flop")</f>
        <v>Hit</v>
      </c>
    </row>
    <row r="249" spans="1:20" x14ac:dyDescent="0.3">
      <c r="A249">
        <v>809</v>
      </c>
      <c r="B249" t="s">
        <v>1017</v>
      </c>
      <c r="C249" t="s">
        <v>67</v>
      </c>
      <c r="D249">
        <v>1985</v>
      </c>
      <c r="E249" s="1">
        <v>31243</v>
      </c>
      <c r="F249" t="s">
        <v>23</v>
      </c>
      <c r="G249" s="2">
        <v>6871092.2300000004</v>
      </c>
      <c r="H249" s="2">
        <v>10398359.83</v>
      </c>
      <c r="I249" s="2">
        <v>21610143.350000001</v>
      </c>
      <c r="J249" s="2">
        <v>1218549.67</v>
      </c>
      <c r="K249" s="2">
        <v>4175013.41</v>
      </c>
      <c r="L249">
        <v>5.7</v>
      </c>
      <c r="M249">
        <v>35</v>
      </c>
      <c r="N249">
        <v>9406</v>
      </c>
      <c r="O249">
        <v>704</v>
      </c>
      <c r="P249" t="s">
        <v>756</v>
      </c>
      <c r="Q249" t="s">
        <v>347</v>
      </c>
      <c r="R249" s="2">
        <f>Table1[[#This Row],[Global_BoxOfficeUSD]]-Table1[[#This Row],[BudgetUSD]]</f>
        <v>14739051.120000001</v>
      </c>
      <c r="S249" s="15">
        <f>Table1[[#This Row],[Profit]]/Table1[[#This Row],[BudgetUSD]]</f>
        <v>2.1450812515145063</v>
      </c>
      <c r="T249" t="str">
        <f>IF(Table1[[#This Row],[ROI]]&gt;100%,"Hit","Flop")</f>
        <v>Hit</v>
      </c>
    </row>
    <row r="250" spans="1:20" x14ac:dyDescent="0.3">
      <c r="A250">
        <v>518</v>
      </c>
      <c r="B250" t="s">
        <v>560</v>
      </c>
      <c r="C250" t="s">
        <v>38</v>
      </c>
      <c r="D250">
        <v>2005</v>
      </c>
      <c r="E250" s="1">
        <v>38574</v>
      </c>
      <c r="F250" t="s">
        <v>23</v>
      </c>
      <c r="G250" s="2">
        <v>8901904.9800000004</v>
      </c>
      <c r="H250" s="2">
        <v>9768648.3499999996</v>
      </c>
      <c r="I250" s="2">
        <v>21206522.699999999</v>
      </c>
      <c r="J250" s="2">
        <v>1622107.04</v>
      </c>
      <c r="K250" s="2">
        <v>5513266.7599999998</v>
      </c>
      <c r="L250">
        <v>6.7</v>
      </c>
      <c r="M250">
        <v>58</v>
      </c>
      <c r="N250">
        <v>2568</v>
      </c>
      <c r="O250">
        <v>154</v>
      </c>
      <c r="P250" t="s">
        <v>299</v>
      </c>
      <c r="Q250" t="s">
        <v>278</v>
      </c>
      <c r="R250" s="2">
        <f>Table1[[#This Row],[Global_BoxOfficeUSD]]-Table1[[#This Row],[BudgetUSD]]</f>
        <v>12304617.719999999</v>
      </c>
      <c r="S250" s="15">
        <f>Table1[[#This Row],[Profit]]/Table1[[#This Row],[BudgetUSD]]</f>
        <v>1.3822454573088465</v>
      </c>
      <c r="T250" t="str">
        <f>IF(Table1[[#This Row],[ROI]]&gt;100%,"Hit","Flop")</f>
        <v>Hit</v>
      </c>
    </row>
    <row r="251" spans="1:20" x14ac:dyDescent="0.3">
      <c r="A251">
        <v>488</v>
      </c>
      <c r="B251" t="s">
        <v>889</v>
      </c>
      <c r="C251" t="s">
        <v>45</v>
      </c>
      <c r="D251">
        <v>2022</v>
      </c>
      <c r="E251" s="1">
        <v>44745</v>
      </c>
      <c r="F251" t="s">
        <v>23</v>
      </c>
      <c r="G251" s="2">
        <v>4909196.9400000004</v>
      </c>
      <c r="H251" s="2">
        <v>11113011.039999999</v>
      </c>
      <c r="I251" s="2">
        <v>21182825.02</v>
      </c>
      <c r="J251" s="2">
        <v>2157851.09</v>
      </c>
      <c r="K251" s="2">
        <v>6601809.2199999997</v>
      </c>
      <c r="L251">
        <v>6.9</v>
      </c>
      <c r="M251">
        <v>66</v>
      </c>
      <c r="N251">
        <v>3336</v>
      </c>
      <c r="O251">
        <v>94</v>
      </c>
      <c r="P251" t="s">
        <v>111</v>
      </c>
      <c r="Q251" t="s">
        <v>890</v>
      </c>
      <c r="R251" s="2">
        <f>Table1[[#This Row],[Global_BoxOfficeUSD]]-Table1[[#This Row],[BudgetUSD]]</f>
        <v>16273628.079999998</v>
      </c>
      <c r="S251" s="15">
        <f>Table1[[#This Row],[Profit]]/Table1[[#This Row],[BudgetUSD]]</f>
        <v>3.3149267138588243</v>
      </c>
      <c r="T251" t="str">
        <f>IF(Table1[[#This Row],[ROI]]&gt;100%,"Hit","Flop")</f>
        <v>Hit</v>
      </c>
    </row>
    <row r="252" spans="1:20" x14ac:dyDescent="0.3">
      <c r="A252">
        <v>623</v>
      </c>
      <c r="B252" t="s">
        <v>1041</v>
      </c>
      <c r="C252" t="s">
        <v>77</v>
      </c>
      <c r="D252">
        <v>2015</v>
      </c>
      <c r="E252" s="1">
        <v>42276</v>
      </c>
      <c r="F252" t="s">
        <v>267</v>
      </c>
      <c r="G252" s="2">
        <v>13008829.01</v>
      </c>
      <c r="H252" s="2">
        <v>13991492.560000001</v>
      </c>
      <c r="I252" s="2">
        <v>21142299.719999999</v>
      </c>
      <c r="J252" s="2">
        <v>4197232.3</v>
      </c>
      <c r="K252" s="2">
        <v>6878140.4900000002</v>
      </c>
      <c r="L252">
        <v>9.1999999999999993</v>
      </c>
      <c r="M252">
        <v>100</v>
      </c>
      <c r="N252">
        <v>2285</v>
      </c>
      <c r="O252">
        <v>30991</v>
      </c>
      <c r="P252" t="s">
        <v>71</v>
      </c>
      <c r="Q252" t="s">
        <v>473</v>
      </c>
      <c r="R252" s="2">
        <f>Table1[[#This Row],[Global_BoxOfficeUSD]]-Table1[[#This Row],[BudgetUSD]]</f>
        <v>8133470.709999999</v>
      </c>
      <c r="S252" s="15">
        <f>Table1[[#This Row],[Profit]]/Table1[[#This Row],[BudgetUSD]]</f>
        <v>0.62522696729642069</v>
      </c>
      <c r="T252" t="str">
        <f>IF(Table1[[#This Row],[ROI]]&gt;100%,"Hit","Flop")</f>
        <v>Flop</v>
      </c>
    </row>
    <row r="253" spans="1:20" x14ac:dyDescent="0.3">
      <c r="A253">
        <v>282</v>
      </c>
      <c r="B253" t="s">
        <v>618</v>
      </c>
      <c r="C253" t="s">
        <v>67</v>
      </c>
      <c r="D253">
        <v>1984</v>
      </c>
      <c r="E253" s="1">
        <v>30879</v>
      </c>
      <c r="F253" t="s">
        <v>23</v>
      </c>
      <c r="G253" s="2">
        <v>4491105.93</v>
      </c>
      <c r="H253" s="2">
        <v>12948064.32</v>
      </c>
      <c r="I253" s="2">
        <v>21027939.620000001</v>
      </c>
      <c r="J253" s="2">
        <v>1596457.41</v>
      </c>
      <c r="K253" s="2">
        <v>7593677.6399999997</v>
      </c>
      <c r="L253">
        <v>5.4</v>
      </c>
      <c r="M253">
        <v>45</v>
      </c>
      <c r="N253">
        <v>78780</v>
      </c>
      <c r="O253">
        <v>141</v>
      </c>
      <c r="P253" t="s">
        <v>576</v>
      </c>
      <c r="Q253" t="s">
        <v>59</v>
      </c>
      <c r="R253" s="2">
        <f>Table1[[#This Row],[Global_BoxOfficeUSD]]-Table1[[#This Row],[BudgetUSD]]</f>
        <v>16536833.690000001</v>
      </c>
      <c r="S253" s="15">
        <f>Table1[[#This Row],[Profit]]/Table1[[#This Row],[BudgetUSD]]</f>
        <v>3.6821295128079963</v>
      </c>
      <c r="T253" t="str">
        <f>IF(Table1[[#This Row],[ROI]]&gt;100%,"Hit","Flop")</f>
        <v>Hit</v>
      </c>
    </row>
    <row r="254" spans="1:20" x14ac:dyDescent="0.3">
      <c r="A254">
        <v>330</v>
      </c>
      <c r="B254" t="s">
        <v>680</v>
      </c>
      <c r="C254" t="s">
        <v>107</v>
      </c>
      <c r="D254">
        <v>2016</v>
      </c>
      <c r="E254" s="1">
        <v>42604</v>
      </c>
      <c r="F254" t="s">
        <v>23</v>
      </c>
      <c r="G254" s="2">
        <v>6119677.3600000003</v>
      </c>
      <c r="H254" s="2">
        <v>13571083.539999999</v>
      </c>
      <c r="I254" s="2">
        <v>20757128.170000002</v>
      </c>
      <c r="J254" s="2">
        <v>3344262.65</v>
      </c>
      <c r="K254" s="2">
        <v>5524301.1799999997</v>
      </c>
      <c r="L254">
        <v>6.2</v>
      </c>
      <c r="M254">
        <v>63</v>
      </c>
      <c r="N254">
        <v>758</v>
      </c>
      <c r="O254">
        <v>477</v>
      </c>
      <c r="P254" t="s">
        <v>302</v>
      </c>
      <c r="Q254" t="s">
        <v>520</v>
      </c>
      <c r="R254" s="2">
        <f>Table1[[#This Row],[Global_BoxOfficeUSD]]-Table1[[#This Row],[BudgetUSD]]</f>
        <v>14637450.810000002</v>
      </c>
      <c r="S254" s="15">
        <f>Table1[[#This Row],[Profit]]/Table1[[#This Row],[BudgetUSD]]</f>
        <v>2.3918664251280073</v>
      </c>
      <c r="T254" t="str">
        <f>IF(Table1[[#This Row],[ROI]]&gt;100%,"Hit","Flop")</f>
        <v>Hit</v>
      </c>
    </row>
    <row r="255" spans="1:20" x14ac:dyDescent="0.3">
      <c r="A255">
        <v>490</v>
      </c>
      <c r="B255" t="s">
        <v>892</v>
      </c>
      <c r="C255" t="s">
        <v>77</v>
      </c>
      <c r="D255">
        <v>1994</v>
      </c>
      <c r="E255" s="1">
        <v>34368</v>
      </c>
      <c r="F255" t="s">
        <v>23</v>
      </c>
      <c r="G255" s="2">
        <v>4126334.69</v>
      </c>
      <c r="H255" s="2">
        <v>11452755.279999999</v>
      </c>
      <c r="I255" s="2">
        <v>20499584.530000001</v>
      </c>
      <c r="J255" s="2">
        <v>1774257.78</v>
      </c>
      <c r="K255" s="2">
        <v>4746162.42</v>
      </c>
      <c r="L255">
        <v>6.4</v>
      </c>
      <c r="M255">
        <v>68</v>
      </c>
      <c r="N255">
        <v>1389</v>
      </c>
      <c r="O255">
        <v>50</v>
      </c>
      <c r="P255" t="s">
        <v>319</v>
      </c>
      <c r="Q255" t="s">
        <v>335</v>
      </c>
      <c r="R255" s="2">
        <f>Table1[[#This Row],[Global_BoxOfficeUSD]]-Table1[[#This Row],[BudgetUSD]]</f>
        <v>16373249.840000002</v>
      </c>
      <c r="S255" s="15">
        <f>Table1[[#This Row],[Profit]]/Table1[[#This Row],[BudgetUSD]]</f>
        <v>3.9679888012186431</v>
      </c>
      <c r="T255" t="str">
        <f>IF(Table1[[#This Row],[ROI]]&gt;100%,"Hit","Flop")</f>
        <v>Hit</v>
      </c>
    </row>
    <row r="256" spans="1:20" x14ac:dyDescent="0.3">
      <c r="A256">
        <v>681</v>
      </c>
      <c r="B256" t="s">
        <v>1101</v>
      </c>
      <c r="C256" t="s">
        <v>18</v>
      </c>
      <c r="D256">
        <v>1964</v>
      </c>
      <c r="E256" s="1">
        <v>23740</v>
      </c>
      <c r="F256" t="s">
        <v>23</v>
      </c>
      <c r="G256" s="2">
        <v>8260531.3300000001</v>
      </c>
      <c r="H256" s="2">
        <v>11203984.52</v>
      </c>
      <c r="I256" s="2">
        <v>20491133.140000001</v>
      </c>
      <c r="J256" s="2">
        <v>1373002.98</v>
      </c>
      <c r="K256" s="2">
        <v>5603145.9500000002</v>
      </c>
      <c r="L256">
        <v>7.6</v>
      </c>
      <c r="M256">
        <v>86</v>
      </c>
      <c r="N256">
        <v>140</v>
      </c>
      <c r="O256">
        <v>235</v>
      </c>
      <c r="P256" t="s">
        <v>386</v>
      </c>
      <c r="Q256" t="s">
        <v>253</v>
      </c>
      <c r="R256" s="2">
        <f>Table1[[#This Row],[Global_BoxOfficeUSD]]-Table1[[#This Row],[BudgetUSD]]</f>
        <v>12230601.810000001</v>
      </c>
      <c r="S256" s="15">
        <f>Table1[[#This Row],[Profit]]/Table1[[#This Row],[BudgetUSD]]</f>
        <v>1.4806071572638173</v>
      </c>
      <c r="T256" t="str">
        <f>IF(Table1[[#This Row],[ROI]]&gt;100%,"Hit","Flop")</f>
        <v>Hit</v>
      </c>
    </row>
    <row r="257" spans="1:20" x14ac:dyDescent="0.3">
      <c r="A257">
        <v>26</v>
      </c>
      <c r="B257" t="s">
        <v>99</v>
      </c>
      <c r="C257" t="s">
        <v>18</v>
      </c>
      <c r="D257">
        <v>1998</v>
      </c>
      <c r="E257" s="1">
        <v>36141</v>
      </c>
      <c r="F257" t="s">
        <v>23</v>
      </c>
      <c r="G257" s="2">
        <v>6734151.1799999997</v>
      </c>
      <c r="H257" s="2">
        <v>13967085.26</v>
      </c>
      <c r="I257" s="2">
        <v>20371544.329999998</v>
      </c>
      <c r="J257" s="2">
        <v>3229502.73</v>
      </c>
      <c r="K257" s="2">
        <v>6297509.2199999997</v>
      </c>
      <c r="L257">
        <v>5.2</v>
      </c>
      <c r="M257">
        <v>54</v>
      </c>
      <c r="N257">
        <v>1520</v>
      </c>
      <c r="O257">
        <v>1312</v>
      </c>
      <c r="P257" t="s">
        <v>35</v>
      </c>
      <c r="Q257" t="s">
        <v>100</v>
      </c>
      <c r="R257" s="2">
        <f>Table1[[#This Row],[Global_BoxOfficeUSD]]-Table1[[#This Row],[BudgetUSD]]</f>
        <v>13637393.149999999</v>
      </c>
      <c r="S257" s="15">
        <f>Table1[[#This Row],[Profit]]/Table1[[#This Row],[BudgetUSD]]</f>
        <v>2.0251094437116572</v>
      </c>
      <c r="T257" t="str">
        <f>IF(Table1[[#This Row],[ROI]]&gt;100%,"Hit","Flop")</f>
        <v>Hit</v>
      </c>
    </row>
    <row r="258" spans="1:20" x14ac:dyDescent="0.3">
      <c r="A258">
        <v>432</v>
      </c>
      <c r="B258" t="s">
        <v>816</v>
      </c>
      <c r="C258" t="s">
        <v>18</v>
      </c>
      <c r="D258">
        <v>2012</v>
      </c>
      <c r="E258" s="1">
        <v>41074</v>
      </c>
      <c r="F258" t="s">
        <v>23</v>
      </c>
      <c r="G258" s="2">
        <v>5028659.21</v>
      </c>
      <c r="H258" s="2">
        <v>13567804.84</v>
      </c>
      <c r="I258" s="2">
        <v>20228618.760000002</v>
      </c>
      <c r="J258" s="2">
        <v>3270912.92</v>
      </c>
      <c r="K258" s="2">
        <v>7050468.1500000004</v>
      </c>
      <c r="L258">
        <v>6.6</v>
      </c>
      <c r="M258">
        <v>81</v>
      </c>
      <c r="N258">
        <v>7249</v>
      </c>
      <c r="O258">
        <v>3021</v>
      </c>
      <c r="P258" t="s">
        <v>212</v>
      </c>
      <c r="Q258" t="s">
        <v>616</v>
      </c>
      <c r="R258" s="2">
        <f>Table1[[#This Row],[Global_BoxOfficeUSD]]-Table1[[#This Row],[BudgetUSD]]</f>
        <v>15199959.550000001</v>
      </c>
      <c r="S258" s="15">
        <f>Table1[[#This Row],[Profit]]/Table1[[#This Row],[BudgetUSD]]</f>
        <v>3.0226664634130178</v>
      </c>
      <c r="T258" t="str">
        <f>IF(Table1[[#This Row],[ROI]]&gt;100%,"Hit","Flop")</f>
        <v>Hit</v>
      </c>
    </row>
    <row r="259" spans="1:20" x14ac:dyDescent="0.3">
      <c r="A259">
        <v>931</v>
      </c>
      <c r="B259" t="s">
        <v>1338</v>
      </c>
      <c r="C259" t="s">
        <v>38</v>
      </c>
      <c r="D259">
        <v>1974</v>
      </c>
      <c r="E259" s="1">
        <v>27033</v>
      </c>
      <c r="F259" t="s">
        <v>23</v>
      </c>
      <c r="G259" s="2">
        <v>5813385.4500000002</v>
      </c>
      <c r="H259" s="2">
        <v>12453858.27</v>
      </c>
      <c r="I259" s="2">
        <v>20120758.079999998</v>
      </c>
      <c r="J259" s="2">
        <v>1519342.41</v>
      </c>
      <c r="K259" s="2">
        <v>6643525.0999999996</v>
      </c>
      <c r="L259">
        <v>7.5</v>
      </c>
      <c r="M259">
        <v>68</v>
      </c>
      <c r="N259">
        <v>2627</v>
      </c>
      <c r="O259">
        <v>21830</v>
      </c>
      <c r="P259" t="s">
        <v>202</v>
      </c>
      <c r="Q259" t="s">
        <v>569</v>
      </c>
      <c r="R259" s="2">
        <f>Table1[[#This Row],[Global_BoxOfficeUSD]]-Table1[[#This Row],[BudgetUSD]]</f>
        <v>14307372.629999999</v>
      </c>
      <c r="S259" s="15">
        <f>Table1[[#This Row],[Profit]]/Table1[[#This Row],[BudgetUSD]]</f>
        <v>2.4611085490641256</v>
      </c>
      <c r="T259" t="str">
        <f>IF(Table1[[#This Row],[ROI]]&gt;100%,"Hit","Flop")</f>
        <v>Hit</v>
      </c>
    </row>
    <row r="260" spans="1:20" x14ac:dyDescent="0.3">
      <c r="A260">
        <v>424</v>
      </c>
      <c r="B260" t="s">
        <v>808</v>
      </c>
      <c r="C260" t="s">
        <v>67</v>
      </c>
      <c r="D260">
        <v>2005</v>
      </c>
      <c r="E260" s="1">
        <v>38515</v>
      </c>
      <c r="F260" t="s">
        <v>23</v>
      </c>
      <c r="G260" s="2">
        <v>6414229.6299999999</v>
      </c>
      <c r="H260" s="2">
        <v>13292632.359999999</v>
      </c>
      <c r="I260" s="2">
        <v>20072661.73</v>
      </c>
      <c r="J260" s="2">
        <v>3618674.56</v>
      </c>
      <c r="K260" s="2">
        <v>5932983.8899999997</v>
      </c>
      <c r="L260">
        <v>6.5</v>
      </c>
      <c r="M260">
        <v>64</v>
      </c>
      <c r="N260">
        <v>21280</v>
      </c>
      <c r="O260">
        <v>36496</v>
      </c>
      <c r="P260" t="s">
        <v>386</v>
      </c>
      <c r="Q260" t="s">
        <v>98</v>
      </c>
      <c r="R260" s="2">
        <f>Table1[[#This Row],[Global_BoxOfficeUSD]]-Table1[[#This Row],[BudgetUSD]]</f>
        <v>13658432.100000001</v>
      </c>
      <c r="S260" s="15">
        <f>Table1[[#This Row],[Profit]]/Table1[[#This Row],[BudgetUSD]]</f>
        <v>2.1293955607884905</v>
      </c>
      <c r="T260" t="str">
        <f>IF(Table1[[#This Row],[ROI]]&gt;100%,"Hit","Flop")</f>
        <v>Hit</v>
      </c>
    </row>
    <row r="261" spans="1:20" x14ac:dyDescent="0.3">
      <c r="A261">
        <v>350</v>
      </c>
      <c r="B261" t="s">
        <v>706</v>
      </c>
      <c r="C261" t="s">
        <v>18</v>
      </c>
      <c r="D261">
        <v>1995</v>
      </c>
      <c r="E261" s="1">
        <v>34821</v>
      </c>
      <c r="F261" t="s">
        <v>23</v>
      </c>
      <c r="G261" s="2">
        <v>10768413.810000001</v>
      </c>
      <c r="H261" s="2">
        <v>8479772.1099999994</v>
      </c>
      <c r="I261" s="2">
        <v>19979201.920000002</v>
      </c>
      <c r="J261" s="2">
        <v>1590779.57</v>
      </c>
      <c r="K261" s="2">
        <v>3553858.35</v>
      </c>
      <c r="L261">
        <v>5</v>
      </c>
      <c r="M261">
        <v>44</v>
      </c>
      <c r="N261">
        <v>631</v>
      </c>
      <c r="O261">
        <v>11533</v>
      </c>
      <c r="P261" t="s">
        <v>609</v>
      </c>
      <c r="Q261" t="s">
        <v>375</v>
      </c>
      <c r="R261" s="2">
        <f>Table1[[#This Row],[Global_BoxOfficeUSD]]-Table1[[#This Row],[BudgetUSD]]</f>
        <v>9210788.1100000013</v>
      </c>
      <c r="S261" s="15">
        <f>Table1[[#This Row],[Profit]]/Table1[[#This Row],[BudgetUSD]]</f>
        <v>0.85535235481445537</v>
      </c>
      <c r="T261" t="str">
        <f>IF(Table1[[#This Row],[ROI]]&gt;100%,"Hit","Flop")</f>
        <v>Flop</v>
      </c>
    </row>
    <row r="262" spans="1:20" x14ac:dyDescent="0.3">
      <c r="A262">
        <v>665</v>
      </c>
      <c r="B262" t="s">
        <v>1086</v>
      </c>
      <c r="C262" t="s">
        <v>38</v>
      </c>
      <c r="D262">
        <v>1999</v>
      </c>
      <c r="E262" s="1">
        <v>36340</v>
      </c>
      <c r="F262" t="s">
        <v>249</v>
      </c>
      <c r="G262" s="2">
        <v>19914227.780000001</v>
      </c>
      <c r="H262" s="2">
        <v>9313716.2599999998</v>
      </c>
      <c r="I262" s="2">
        <v>19914227.780000001</v>
      </c>
      <c r="J262" s="2">
        <v>2068546.92</v>
      </c>
      <c r="K262" s="2">
        <v>4312120.97</v>
      </c>
      <c r="L262">
        <v>8.1999999999999993</v>
      </c>
      <c r="M262">
        <v>73</v>
      </c>
      <c r="N262">
        <v>2390</v>
      </c>
      <c r="O262">
        <v>132</v>
      </c>
      <c r="P262" t="s">
        <v>287</v>
      </c>
      <c r="Q262" t="s">
        <v>272</v>
      </c>
      <c r="R262" s="2">
        <f>Table1[[#This Row],[Global_BoxOfficeUSD]]-Table1[[#This Row],[BudgetUSD]]</f>
        <v>0</v>
      </c>
      <c r="S262" s="15">
        <f>Table1[[#This Row],[Profit]]/Table1[[#This Row],[BudgetUSD]]</f>
        <v>0</v>
      </c>
      <c r="T262" t="str">
        <f>IF(Table1[[#This Row],[ROI]]&gt;100%,"Hit","Flop")</f>
        <v>Flop</v>
      </c>
    </row>
    <row r="263" spans="1:20" x14ac:dyDescent="0.3">
      <c r="A263">
        <v>443</v>
      </c>
      <c r="B263" t="s">
        <v>831</v>
      </c>
      <c r="C263" t="s">
        <v>18</v>
      </c>
      <c r="D263">
        <v>2000</v>
      </c>
      <c r="E263" s="1">
        <v>36653</v>
      </c>
      <c r="F263" t="s">
        <v>23</v>
      </c>
      <c r="G263" s="2">
        <v>4919547.57</v>
      </c>
      <c r="H263" s="2">
        <v>12351229</v>
      </c>
      <c r="I263" s="2">
        <v>19757491.66</v>
      </c>
      <c r="J263" s="2">
        <v>1336830.95</v>
      </c>
      <c r="K263" s="2">
        <v>7182829.6100000003</v>
      </c>
      <c r="L263">
        <v>8</v>
      </c>
      <c r="M263">
        <v>100</v>
      </c>
      <c r="N263">
        <v>3773</v>
      </c>
      <c r="O263">
        <v>50</v>
      </c>
      <c r="P263" t="s">
        <v>277</v>
      </c>
      <c r="Q263" t="s">
        <v>832</v>
      </c>
      <c r="R263" s="2">
        <f>Table1[[#This Row],[Global_BoxOfficeUSD]]-Table1[[#This Row],[BudgetUSD]]</f>
        <v>14837944.09</v>
      </c>
      <c r="S263" s="15">
        <f>Table1[[#This Row],[Profit]]/Table1[[#This Row],[BudgetUSD]]</f>
        <v>3.0161196489863396</v>
      </c>
      <c r="T263" t="str">
        <f>IF(Table1[[#This Row],[ROI]]&gt;100%,"Hit","Flop")</f>
        <v>Hit</v>
      </c>
    </row>
    <row r="264" spans="1:20" x14ac:dyDescent="0.3">
      <c r="A264">
        <v>409</v>
      </c>
      <c r="B264" t="s">
        <v>788</v>
      </c>
      <c r="C264" t="s">
        <v>86</v>
      </c>
      <c r="D264">
        <v>2017</v>
      </c>
      <c r="E264" s="1">
        <v>42938</v>
      </c>
      <c r="F264" t="s">
        <v>23</v>
      </c>
      <c r="G264" s="2">
        <v>15003612.109999999</v>
      </c>
      <c r="H264" s="2">
        <v>10285675.939999999</v>
      </c>
      <c r="I264" s="2">
        <v>19570649.600000001</v>
      </c>
      <c r="J264" s="2">
        <v>1656726.62</v>
      </c>
      <c r="K264" s="2">
        <v>4293836.32</v>
      </c>
      <c r="L264">
        <v>6.6</v>
      </c>
      <c r="M264">
        <v>68</v>
      </c>
      <c r="N264">
        <v>5467</v>
      </c>
      <c r="O264">
        <v>674</v>
      </c>
      <c r="P264" t="s">
        <v>102</v>
      </c>
      <c r="Q264" t="s">
        <v>130</v>
      </c>
      <c r="R264" s="2">
        <f>Table1[[#This Row],[Global_BoxOfficeUSD]]-Table1[[#This Row],[BudgetUSD]]</f>
        <v>4567037.4900000021</v>
      </c>
      <c r="S264" s="15">
        <f>Table1[[#This Row],[Profit]]/Table1[[#This Row],[BudgetUSD]]</f>
        <v>0.30439586524341317</v>
      </c>
      <c r="T264" t="str">
        <f>IF(Table1[[#This Row],[ROI]]&gt;100%,"Hit","Flop")</f>
        <v>Flop</v>
      </c>
    </row>
    <row r="265" spans="1:20" x14ac:dyDescent="0.3">
      <c r="A265">
        <v>154</v>
      </c>
      <c r="B265" t="s">
        <v>398</v>
      </c>
      <c r="C265" t="s">
        <v>86</v>
      </c>
      <c r="D265">
        <v>2008</v>
      </c>
      <c r="E265" s="1">
        <v>39584</v>
      </c>
      <c r="F265" t="s">
        <v>23</v>
      </c>
      <c r="G265" s="2">
        <v>5358045.63</v>
      </c>
      <c r="H265" s="2">
        <v>12689171.640000001</v>
      </c>
      <c r="I265" s="2">
        <v>19524549.879999999</v>
      </c>
      <c r="J265" s="2">
        <v>3094584.62</v>
      </c>
      <c r="K265" s="2">
        <v>7449263.0199999996</v>
      </c>
      <c r="L265">
        <v>6</v>
      </c>
      <c r="M265">
        <v>52</v>
      </c>
      <c r="N265">
        <v>550</v>
      </c>
      <c r="O265">
        <v>223</v>
      </c>
      <c r="P265" t="s">
        <v>156</v>
      </c>
      <c r="Q265" t="s">
        <v>399</v>
      </c>
      <c r="R265" s="2">
        <f>Table1[[#This Row],[Global_BoxOfficeUSD]]-Table1[[#This Row],[BudgetUSD]]</f>
        <v>14166504.25</v>
      </c>
      <c r="S265" s="15">
        <f>Table1[[#This Row],[Profit]]/Table1[[#This Row],[BudgetUSD]]</f>
        <v>2.6439685714285344</v>
      </c>
      <c r="T265" t="str">
        <f>IF(Table1[[#This Row],[ROI]]&gt;100%,"Hit","Flop")</f>
        <v>Hit</v>
      </c>
    </row>
    <row r="266" spans="1:20" x14ac:dyDescent="0.3">
      <c r="A266">
        <v>71</v>
      </c>
      <c r="B266" t="s">
        <v>220</v>
      </c>
      <c r="C266" t="s">
        <v>18</v>
      </c>
      <c r="D266">
        <v>2006</v>
      </c>
      <c r="E266" s="1">
        <v>38864</v>
      </c>
      <c r="F266" t="s">
        <v>23</v>
      </c>
      <c r="G266" s="2">
        <v>10496349.140000001</v>
      </c>
      <c r="H266" s="2">
        <v>13498710.880000001</v>
      </c>
      <c r="I266" s="2">
        <v>19454860.940000001</v>
      </c>
      <c r="J266" s="2">
        <v>2934797.68</v>
      </c>
      <c r="K266" s="2">
        <v>7656806.7699999996</v>
      </c>
      <c r="L266">
        <v>8.3000000000000007</v>
      </c>
      <c r="M266">
        <v>78</v>
      </c>
      <c r="N266">
        <v>4494</v>
      </c>
      <c r="O266">
        <v>2286</v>
      </c>
      <c r="P266" t="s">
        <v>221</v>
      </c>
      <c r="Q266" t="s">
        <v>222</v>
      </c>
      <c r="R266" s="2">
        <f>Table1[[#This Row],[Global_BoxOfficeUSD]]-Table1[[#This Row],[BudgetUSD]]</f>
        <v>8958511.8000000007</v>
      </c>
      <c r="S266" s="15">
        <f>Table1[[#This Row],[Profit]]/Table1[[#This Row],[BudgetUSD]]</f>
        <v>0.85348835871517137</v>
      </c>
      <c r="T266" t="str">
        <f>IF(Table1[[#This Row],[ROI]]&gt;100%,"Hit","Flop")</f>
        <v>Flop</v>
      </c>
    </row>
    <row r="267" spans="1:20" x14ac:dyDescent="0.3">
      <c r="A267">
        <v>77</v>
      </c>
      <c r="B267" t="s">
        <v>236</v>
      </c>
      <c r="C267" t="s">
        <v>67</v>
      </c>
      <c r="D267">
        <v>2007</v>
      </c>
      <c r="E267" s="1">
        <v>39344</v>
      </c>
      <c r="F267" t="s">
        <v>152</v>
      </c>
      <c r="G267" s="2">
        <v>4499420.46</v>
      </c>
      <c r="H267" s="2">
        <v>8456277.8200000003</v>
      </c>
      <c r="I267" s="2">
        <v>19420441.039999999</v>
      </c>
      <c r="J267" s="2">
        <v>1757299.42</v>
      </c>
      <c r="K267" s="2">
        <v>4429149.5199999996</v>
      </c>
      <c r="L267">
        <v>7.5</v>
      </c>
      <c r="M267">
        <v>83</v>
      </c>
      <c r="N267">
        <v>9695</v>
      </c>
      <c r="O267">
        <v>854</v>
      </c>
      <c r="P267" t="s">
        <v>237</v>
      </c>
      <c r="Q267" t="s">
        <v>238</v>
      </c>
      <c r="R267" s="2">
        <f>Table1[[#This Row],[Global_BoxOfficeUSD]]-Table1[[#This Row],[BudgetUSD]]</f>
        <v>14921020.579999998</v>
      </c>
      <c r="S267" s="15">
        <f>Table1[[#This Row],[Profit]]/Table1[[#This Row],[BudgetUSD]]</f>
        <v>3.3162094346701703</v>
      </c>
      <c r="T267" t="str">
        <f>IF(Table1[[#This Row],[ROI]]&gt;100%,"Hit","Flop")</f>
        <v>Hit</v>
      </c>
    </row>
    <row r="268" spans="1:20" x14ac:dyDescent="0.3">
      <c r="A268">
        <v>725</v>
      </c>
      <c r="B268" t="s">
        <v>1143</v>
      </c>
      <c r="C268" t="s">
        <v>18</v>
      </c>
      <c r="D268">
        <v>2009</v>
      </c>
      <c r="E268" s="1">
        <v>40144</v>
      </c>
      <c r="F268" t="s">
        <v>23</v>
      </c>
      <c r="G268" s="2">
        <v>19383530.93</v>
      </c>
      <c r="H268" s="2">
        <v>10152319.01</v>
      </c>
      <c r="I268" s="2">
        <v>19383530.93</v>
      </c>
      <c r="J268" s="2">
        <v>1499713.22</v>
      </c>
      <c r="K268" s="2">
        <v>4164666.66</v>
      </c>
      <c r="L268">
        <v>5.8</v>
      </c>
      <c r="M268">
        <v>42</v>
      </c>
      <c r="N268">
        <v>923</v>
      </c>
      <c r="O268">
        <v>275</v>
      </c>
      <c r="P268" t="s">
        <v>360</v>
      </c>
      <c r="Q268" t="s">
        <v>338</v>
      </c>
      <c r="R268" s="2">
        <f>Table1[[#This Row],[Global_BoxOfficeUSD]]-Table1[[#This Row],[BudgetUSD]]</f>
        <v>0</v>
      </c>
      <c r="S268" s="15">
        <f>Table1[[#This Row],[Profit]]/Table1[[#This Row],[BudgetUSD]]</f>
        <v>0</v>
      </c>
      <c r="T268" t="str">
        <f>IF(Table1[[#This Row],[ROI]]&gt;100%,"Hit","Flop")</f>
        <v>Flop</v>
      </c>
    </row>
    <row r="269" spans="1:20" x14ac:dyDescent="0.3">
      <c r="A269">
        <v>531</v>
      </c>
      <c r="B269" t="s">
        <v>939</v>
      </c>
      <c r="C269" t="s">
        <v>38</v>
      </c>
      <c r="D269">
        <v>2020</v>
      </c>
      <c r="E269" s="1">
        <v>44115</v>
      </c>
      <c r="F269" t="s">
        <v>23</v>
      </c>
      <c r="G269" s="2">
        <v>5619113.5199999996</v>
      </c>
      <c r="H269" s="2">
        <v>12046968.109999999</v>
      </c>
      <c r="I269" s="2">
        <v>19295519.02</v>
      </c>
      <c r="J269" s="2">
        <v>1630139.32</v>
      </c>
      <c r="K269" s="2">
        <v>6466691.04</v>
      </c>
      <c r="L269">
        <v>4.8</v>
      </c>
      <c r="M269">
        <v>59</v>
      </c>
      <c r="N269">
        <v>18206</v>
      </c>
      <c r="O269">
        <v>4061</v>
      </c>
      <c r="P269" t="s">
        <v>523</v>
      </c>
      <c r="Q269" t="s">
        <v>495</v>
      </c>
      <c r="R269" s="2">
        <f>Table1[[#This Row],[Global_BoxOfficeUSD]]-Table1[[#This Row],[BudgetUSD]]</f>
        <v>13676405.5</v>
      </c>
      <c r="S269" s="15">
        <f>Table1[[#This Row],[Profit]]/Table1[[#This Row],[BudgetUSD]]</f>
        <v>2.4339080268305384</v>
      </c>
      <c r="T269" t="str">
        <f>IF(Table1[[#This Row],[ROI]]&gt;100%,"Hit","Flop")</f>
        <v>Hit</v>
      </c>
    </row>
    <row r="270" spans="1:20" x14ac:dyDescent="0.3">
      <c r="A270">
        <v>73</v>
      </c>
      <c r="B270" t="s">
        <v>226</v>
      </c>
      <c r="C270" t="s">
        <v>38</v>
      </c>
      <c r="D270">
        <v>1989</v>
      </c>
      <c r="E270" s="1">
        <v>32738</v>
      </c>
      <c r="F270" t="s">
        <v>23</v>
      </c>
      <c r="G270" s="2">
        <v>9200720.9399999995</v>
      </c>
      <c r="H270" s="2">
        <v>8470309.3499999996</v>
      </c>
      <c r="I270" s="2">
        <v>19271761.690000001</v>
      </c>
      <c r="J270" s="2">
        <v>1401469.41</v>
      </c>
      <c r="K270" s="2">
        <v>4724781.37</v>
      </c>
      <c r="L270">
        <v>6.3</v>
      </c>
      <c r="M270">
        <v>55</v>
      </c>
      <c r="N270">
        <v>8238</v>
      </c>
      <c r="O270">
        <v>747</v>
      </c>
      <c r="P270" t="s">
        <v>227</v>
      </c>
      <c r="Q270" t="s">
        <v>228</v>
      </c>
      <c r="R270" s="2">
        <f>Table1[[#This Row],[Global_BoxOfficeUSD]]-Table1[[#This Row],[BudgetUSD]]</f>
        <v>10071040.750000002</v>
      </c>
      <c r="S270" s="15">
        <f>Table1[[#This Row],[Profit]]/Table1[[#This Row],[BudgetUSD]]</f>
        <v>1.0945925667864025</v>
      </c>
      <c r="T270" t="str">
        <f>IF(Table1[[#This Row],[ROI]]&gt;100%,"Hit","Flop")</f>
        <v>Hit</v>
      </c>
    </row>
    <row r="271" spans="1:20" x14ac:dyDescent="0.3">
      <c r="A271">
        <v>965</v>
      </c>
      <c r="B271" t="s">
        <v>1374</v>
      </c>
      <c r="C271" t="s">
        <v>38</v>
      </c>
      <c r="D271">
        <v>1988</v>
      </c>
      <c r="E271" s="1">
        <v>32273</v>
      </c>
      <c r="F271" t="s">
        <v>19</v>
      </c>
      <c r="G271" s="2">
        <v>19106031.399999999</v>
      </c>
      <c r="H271" s="2">
        <v>13171961.029999999</v>
      </c>
      <c r="I271" s="2">
        <v>19106031.399999999</v>
      </c>
      <c r="J271" s="2">
        <v>2282940.87</v>
      </c>
      <c r="K271" s="2">
        <v>6315787.3600000003</v>
      </c>
      <c r="L271">
        <v>5.3</v>
      </c>
      <c r="M271">
        <v>41</v>
      </c>
      <c r="N271">
        <v>1146</v>
      </c>
      <c r="O271">
        <v>54</v>
      </c>
      <c r="P271" t="s">
        <v>192</v>
      </c>
      <c r="Q271" t="s">
        <v>322</v>
      </c>
      <c r="R271" s="2">
        <f>Table1[[#This Row],[Global_BoxOfficeUSD]]-Table1[[#This Row],[BudgetUSD]]</f>
        <v>0</v>
      </c>
      <c r="S271" s="15">
        <f>Table1[[#This Row],[Profit]]/Table1[[#This Row],[BudgetUSD]]</f>
        <v>0</v>
      </c>
      <c r="T271" t="str">
        <f>IF(Table1[[#This Row],[ROI]]&gt;100%,"Hit","Flop")</f>
        <v>Flop</v>
      </c>
    </row>
    <row r="272" spans="1:20" x14ac:dyDescent="0.3">
      <c r="A272">
        <v>932</v>
      </c>
      <c r="B272" t="s">
        <v>1339</v>
      </c>
      <c r="C272" t="s">
        <v>18</v>
      </c>
      <c r="D272">
        <v>1977</v>
      </c>
      <c r="E272" s="1">
        <v>28128</v>
      </c>
      <c r="F272" t="s">
        <v>23</v>
      </c>
      <c r="G272" s="2">
        <v>6903906.5199999996</v>
      </c>
      <c r="H272" s="2">
        <v>9447162.0999999996</v>
      </c>
      <c r="I272" s="2">
        <v>19085334.390000001</v>
      </c>
      <c r="J272" s="2">
        <v>1634025.46</v>
      </c>
      <c r="K272" s="2">
        <v>4961072.29</v>
      </c>
      <c r="L272">
        <v>6.6</v>
      </c>
      <c r="M272">
        <v>59</v>
      </c>
      <c r="N272">
        <v>3560</v>
      </c>
      <c r="O272">
        <v>1690</v>
      </c>
      <c r="P272" t="s">
        <v>212</v>
      </c>
      <c r="Q272" t="s">
        <v>445</v>
      </c>
      <c r="R272" s="2">
        <f>Table1[[#This Row],[Global_BoxOfficeUSD]]-Table1[[#This Row],[BudgetUSD]]</f>
        <v>12181427.870000001</v>
      </c>
      <c r="S272" s="15">
        <f>Table1[[#This Row],[Profit]]/Table1[[#This Row],[BudgetUSD]]</f>
        <v>1.7644253778221786</v>
      </c>
      <c r="T272" t="str">
        <f>IF(Table1[[#This Row],[ROI]]&gt;100%,"Hit","Flop")</f>
        <v>Hit</v>
      </c>
    </row>
    <row r="273" spans="1:20" x14ac:dyDescent="0.3">
      <c r="A273">
        <v>338</v>
      </c>
      <c r="B273" t="s">
        <v>689</v>
      </c>
      <c r="C273" t="s">
        <v>67</v>
      </c>
      <c r="D273">
        <v>1992</v>
      </c>
      <c r="E273" s="1">
        <v>33815</v>
      </c>
      <c r="F273" t="s">
        <v>23</v>
      </c>
      <c r="G273" s="2">
        <v>12816490.67</v>
      </c>
      <c r="H273" s="2">
        <v>12972345.91</v>
      </c>
      <c r="I273" s="2">
        <v>18985018.539999999</v>
      </c>
      <c r="J273" s="2">
        <v>2101233.2599999998</v>
      </c>
      <c r="K273" s="2">
        <v>6678173.7599999998</v>
      </c>
      <c r="L273">
        <v>10</v>
      </c>
      <c r="M273">
        <v>100</v>
      </c>
      <c r="N273">
        <v>28650</v>
      </c>
      <c r="O273">
        <v>50</v>
      </c>
      <c r="P273" t="s">
        <v>690</v>
      </c>
      <c r="Q273" t="s">
        <v>147</v>
      </c>
      <c r="R273" s="2">
        <f>Table1[[#This Row],[Global_BoxOfficeUSD]]-Table1[[#This Row],[BudgetUSD]]</f>
        <v>6168527.8699999992</v>
      </c>
      <c r="S273" s="15">
        <f>Table1[[#This Row],[Profit]]/Table1[[#This Row],[BudgetUSD]]</f>
        <v>0.48129616981962808</v>
      </c>
      <c r="T273" t="str">
        <f>IF(Table1[[#This Row],[ROI]]&gt;100%,"Hit","Flop")</f>
        <v>Flop</v>
      </c>
    </row>
    <row r="274" spans="1:20" x14ac:dyDescent="0.3">
      <c r="A274">
        <v>954</v>
      </c>
      <c r="B274" t="s">
        <v>1363</v>
      </c>
      <c r="C274" t="s">
        <v>45</v>
      </c>
      <c r="D274">
        <v>1960</v>
      </c>
      <c r="E274" s="1">
        <v>21949</v>
      </c>
      <c r="F274" t="s">
        <v>34</v>
      </c>
      <c r="G274" s="2">
        <v>5205097.1399999997</v>
      </c>
      <c r="H274" s="2">
        <v>8290331.0700000003</v>
      </c>
      <c r="I274" s="2">
        <v>18875159.77</v>
      </c>
      <c r="J274" s="2">
        <v>1509087.93</v>
      </c>
      <c r="K274" s="2">
        <v>4665215.3</v>
      </c>
      <c r="L274">
        <v>6.5</v>
      </c>
      <c r="M274">
        <v>77</v>
      </c>
      <c r="N274">
        <v>143</v>
      </c>
      <c r="O274">
        <v>352</v>
      </c>
      <c r="P274" t="s">
        <v>205</v>
      </c>
      <c r="Q274" t="s">
        <v>715</v>
      </c>
      <c r="R274" s="2">
        <f>Table1[[#This Row],[Global_BoxOfficeUSD]]-Table1[[#This Row],[BudgetUSD]]</f>
        <v>13670062.629999999</v>
      </c>
      <c r="S274" s="15">
        <f>Table1[[#This Row],[Profit]]/Table1[[#This Row],[BudgetUSD]]</f>
        <v>2.6262838641278461</v>
      </c>
      <c r="T274" t="str">
        <f>IF(Table1[[#This Row],[ROI]]&gt;100%,"Hit","Flop")</f>
        <v>Hit</v>
      </c>
    </row>
    <row r="275" spans="1:20" x14ac:dyDescent="0.3">
      <c r="A275">
        <v>755</v>
      </c>
      <c r="B275" t="s">
        <v>1176</v>
      </c>
      <c r="C275" t="s">
        <v>67</v>
      </c>
      <c r="D275">
        <v>2019</v>
      </c>
      <c r="E275" s="1">
        <v>43537</v>
      </c>
      <c r="F275" t="s">
        <v>267</v>
      </c>
      <c r="G275" s="2">
        <v>4183631.04</v>
      </c>
      <c r="H275" s="2">
        <v>10027320.67</v>
      </c>
      <c r="I275" s="2">
        <v>18812914.09</v>
      </c>
      <c r="J275" s="2">
        <v>1906067.83</v>
      </c>
      <c r="K275" s="2">
        <v>5132812.2</v>
      </c>
      <c r="L275">
        <v>6.1</v>
      </c>
      <c r="M275">
        <v>68</v>
      </c>
      <c r="N275">
        <v>11399</v>
      </c>
      <c r="O275">
        <v>152794</v>
      </c>
      <c r="P275" t="s">
        <v>472</v>
      </c>
      <c r="Q275" t="s">
        <v>178</v>
      </c>
      <c r="R275" s="2">
        <f>Table1[[#This Row],[Global_BoxOfficeUSD]]-Table1[[#This Row],[BudgetUSD]]</f>
        <v>14629283.050000001</v>
      </c>
      <c r="S275" s="15">
        <f>Table1[[#This Row],[Profit]]/Table1[[#This Row],[BudgetUSD]]</f>
        <v>3.4967909239912323</v>
      </c>
      <c r="T275" t="str">
        <f>IF(Table1[[#This Row],[ROI]]&gt;100%,"Hit","Flop")</f>
        <v>Hit</v>
      </c>
    </row>
    <row r="276" spans="1:20" x14ac:dyDescent="0.3">
      <c r="A276">
        <v>223</v>
      </c>
      <c r="B276" t="s">
        <v>529</v>
      </c>
      <c r="C276" t="s">
        <v>38</v>
      </c>
      <c r="D276">
        <v>2011</v>
      </c>
      <c r="E276" s="1">
        <v>40732</v>
      </c>
      <c r="F276" t="s">
        <v>23</v>
      </c>
      <c r="G276" s="2">
        <v>9929080.4800000004</v>
      </c>
      <c r="H276" s="2">
        <v>10701477.560000001</v>
      </c>
      <c r="I276" s="2">
        <v>18482282.199999999</v>
      </c>
      <c r="J276" s="2">
        <v>1731538.29</v>
      </c>
      <c r="K276" s="2">
        <v>5335965.1900000004</v>
      </c>
      <c r="L276">
        <v>6.4</v>
      </c>
      <c r="M276">
        <v>58</v>
      </c>
      <c r="N276">
        <v>6047</v>
      </c>
      <c r="O276">
        <v>50</v>
      </c>
      <c r="P276" t="s">
        <v>530</v>
      </c>
      <c r="Q276" t="s">
        <v>250</v>
      </c>
      <c r="R276" s="2">
        <f>Table1[[#This Row],[Global_BoxOfficeUSD]]-Table1[[#This Row],[BudgetUSD]]</f>
        <v>8553201.7199999988</v>
      </c>
      <c r="S276" s="15">
        <f>Table1[[#This Row],[Profit]]/Table1[[#This Row],[BudgetUSD]]</f>
        <v>0.86142938787016443</v>
      </c>
      <c r="T276" t="str">
        <f>IF(Table1[[#This Row],[ROI]]&gt;100%,"Hit","Flop")</f>
        <v>Flop</v>
      </c>
    </row>
    <row r="277" spans="1:20" x14ac:dyDescent="0.3">
      <c r="A277">
        <v>246</v>
      </c>
      <c r="B277" t="s">
        <v>563</v>
      </c>
      <c r="C277" t="s">
        <v>86</v>
      </c>
      <c r="D277">
        <v>1959</v>
      </c>
      <c r="E277" s="1">
        <v>21692</v>
      </c>
      <c r="F277" t="s">
        <v>318</v>
      </c>
      <c r="G277" s="2">
        <v>4749168.25</v>
      </c>
      <c r="H277" s="2">
        <v>11289729.07</v>
      </c>
      <c r="I277" s="2">
        <v>18478496.739999998</v>
      </c>
      <c r="J277" s="2">
        <v>1872748.6</v>
      </c>
      <c r="K277" s="2">
        <v>5957067.2599999998</v>
      </c>
      <c r="L277">
        <v>6.3</v>
      </c>
      <c r="M277">
        <v>79</v>
      </c>
      <c r="N277">
        <v>171</v>
      </c>
      <c r="O277">
        <v>92</v>
      </c>
      <c r="P277" t="s">
        <v>319</v>
      </c>
      <c r="Q277" t="s">
        <v>564</v>
      </c>
      <c r="R277" s="2">
        <f>Table1[[#This Row],[Global_BoxOfficeUSD]]-Table1[[#This Row],[BudgetUSD]]</f>
        <v>13729328.489999998</v>
      </c>
      <c r="S277" s="15">
        <f>Table1[[#This Row],[Profit]]/Table1[[#This Row],[BudgetUSD]]</f>
        <v>2.8908911555197059</v>
      </c>
      <c r="T277" t="str">
        <f>IF(Table1[[#This Row],[ROI]]&gt;100%,"Hit","Flop")</f>
        <v>Hit</v>
      </c>
    </row>
    <row r="278" spans="1:20" x14ac:dyDescent="0.3">
      <c r="A278">
        <v>236</v>
      </c>
      <c r="B278" t="s">
        <v>502</v>
      </c>
      <c r="C278" t="s">
        <v>18</v>
      </c>
      <c r="D278">
        <v>2014</v>
      </c>
      <c r="E278" s="1">
        <v>41971</v>
      </c>
      <c r="F278" t="s">
        <v>23</v>
      </c>
      <c r="G278" s="2">
        <v>5240481.3600000003</v>
      </c>
      <c r="H278" s="2">
        <v>9509021.6799999997</v>
      </c>
      <c r="I278" s="2">
        <v>18418025.5</v>
      </c>
      <c r="J278" s="2">
        <v>1409173.31</v>
      </c>
      <c r="K278" s="2">
        <v>4594686.28</v>
      </c>
      <c r="L278">
        <v>5.3</v>
      </c>
      <c r="M278">
        <v>46</v>
      </c>
      <c r="N278">
        <v>313</v>
      </c>
      <c r="O278">
        <v>92</v>
      </c>
      <c r="P278" t="s">
        <v>548</v>
      </c>
      <c r="Q278" t="s">
        <v>349</v>
      </c>
      <c r="R278" s="2">
        <f>Table1[[#This Row],[Global_BoxOfficeUSD]]-Table1[[#This Row],[BudgetUSD]]</f>
        <v>13177544.140000001</v>
      </c>
      <c r="S278" s="15">
        <f>Table1[[#This Row],[Profit]]/Table1[[#This Row],[BudgetUSD]]</f>
        <v>2.5145675053026046</v>
      </c>
      <c r="T278" t="str">
        <f>IF(Table1[[#This Row],[ROI]]&gt;100%,"Hit","Flop")</f>
        <v>Hit</v>
      </c>
    </row>
    <row r="279" spans="1:20" x14ac:dyDescent="0.3">
      <c r="A279">
        <v>600</v>
      </c>
      <c r="B279" t="s">
        <v>1018</v>
      </c>
      <c r="C279" t="s">
        <v>107</v>
      </c>
      <c r="D279">
        <v>2001</v>
      </c>
      <c r="E279" s="1">
        <v>37097</v>
      </c>
      <c r="F279" t="s">
        <v>23</v>
      </c>
      <c r="G279" s="2">
        <v>4811472.83</v>
      </c>
      <c r="H279" s="2">
        <v>9141396.2899999991</v>
      </c>
      <c r="I279" s="2">
        <v>18357456.879999999</v>
      </c>
      <c r="J279" s="2">
        <v>1969729.76</v>
      </c>
      <c r="K279" s="2">
        <v>4099059.91</v>
      </c>
      <c r="L279">
        <v>8.5</v>
      </c>
      <c r="M279">
        <v>80</v>
      </c>
      <c r="N279">
        <v>37867</v>
      </c>
      <c r="O279">
        <v>1533</v>
      </c>
      <c r="P279" t="s">
        <v>156</v>
      </c>
      <c r="Q279" t="s">
        <v>1019</v>
      </c>
      <c r="R279" s="2">
        <f>Table1[[#This Row],[Global_BoxOfficeUSD]]-Table1[[#This Row],[BudgetUSD]]</f>
        <v>13545984.049999999</v>
      </c>
      <c r="S279" s="15">
        <f>Table1[[#This Row],[Profit]]/Table1[[#This Row],[BudgetUSD]]</f>
        <v>2.8153508350996961</v>
      </c>
      <c r="T279" t="str">
        <f>IF(Table1[[#This Row],[ROI]]&gt;100%,"Hit","Flop")</f>
        <v>Hit</v>
      </c>
    </row>
    <row r="280" spans="1:20" x14ac:dyDescent="0.3">
      <c r="A280">
        <v>215</v>
      </c>
      <c r="B280" t="s">
        <v>515</v>
      </c>
      <c r="C280" t="s">
        <v>18</v>
      </c>
      <c r="D280">
        <v>2012</v>
      </c>
      <c r="E280" s="1">
        <v>41248</v>
      </c>
      <c r="F280" t="s">
        <v>318</v>
      </c>
      <c r="G280" s="2">
        <v>8189276.4199999999</v>
      </c>
      <c r="H280" s="2">
        <v>9671905.4199999999</v>
      </c>
      <c r="I280" s="2">
        <v>18325934.800000001</v>
      </c>
      <c r="J280" s="2">
        <v>2614149.7200000002</v>
      </c>
      <c r="K280" s="2">
        <v>3924213.23</v>
      </c>
      <c r="L280">
        <v>5</v>
      </c>
      <c r="M280">
        <v>55</v>
      </c>
      <c r="N280">
        <v>7958</v>
      </c>
      <c r="O280">
        <v>220</v>
      </c>
      <c r="P280" t="s">
        <v>55</v>
      </c>
      <c r="Q280" t="s">
        <v>516</v>
      </c>
      <c r="R280" s="2">
        <f>Table1[[#This Row],[Global_BoxOfficeUSD]]-Table1[[#This Row],[BudgetUSD]]</f>
        <v>10136658.380000001</v>
      </c>
      <c r="S280" s="15">
        <f>Table1[[#This Row],[Profit]]/Table1[[#This Row],[BudgetUSD]]</f>
        <v>1.2377965842310645</v>
      </c>
      <c r="T280" t="str">
        <f>IF(Table1[[#This Row],[ROI]]&gt;100%,"Hit","Flop")</f>
        <v>Hit</v>
      </c>
    </row>
    <row r="281" spans="1:20" x14ac:dyDescent="0.3">
      <c r="A281">
        <v>947</v>
      </c>
      <c r="B281" t="s">
        <v>1356</v>
      </c>
      <c r="C281" t="s">
        <v>38</v>
      </c>
      <c r="D281">
        <v>1995</v>
      </c>
      <c r="E281" s="1">
        <v>34963</v>
      </c>
      <c r="F281" t="s">
        <v>23</v>
      </c>
      <c r="G281" s="2">
        <v>9486798.0800000001</v>
      </c>
      <c r="H281" s="2">
        <v>7358044.0999999996</v>
      </c>
      <c r="I281" s="2">
        <v>18291178.379999999</v>
      </c>
      <c r="J281" s="2">
        <v>914344.62</v>
      </c>
      <c r="K281" s="2">
        <v>3082231.41</v>
      </c>
      <c r="L281">
        <v>4.8</v>
      </c>
      <c r="M281">
        <v>47</v>
      </c>
      <c r="N281">
        <v>4818</v>
      </c>
      <c r="O281">
        <v>578</v>
      </c>
      <c r="P281" t="s">
        <v>221</v>
      </c>
      <c r="Q281" t="s">
        <v>907</v>
      </c>
      <c r="R281" s="2">
        <f>Table1[[#This Row],[Global_BoxOfficeUSD]]-Table1[[#This Row],[BudgetUSD]]</f>
        <v>8804380.2999999989</v>
      </c>
      <c r="S281" s="15">
        <f>Table1[[#This Row],[Profit]]/Table1[[#This Row],[BudgetUSD]]</f>
        <v>0.92806658534888931</v>
      </c>
      <c r="T281" t="str">
        <f>IF(Table1[[#This Row],[ROI]]&gt;100%,"Hit","Flop")</f>
        <v>Flop</v>
      </c>
    </row>
    <row r="282" spans="1:20" x14ac:dyDescent="0.3">
      <c r="A282">
        <v>996</v>
      </c>
      <c r="B282" t="s">
        <v>1406</v>
      </c>
      <c r="C282" t="s">
        <v>18</v>
      </c>
      <c r="D282">
        <v>1998</v>
      </c>
      <c r="E282" s="1">
        <v>36054</v>
      </c>
      <c r="F282" t="s">
        <v>23</v>
      </c>
      <c r="G282" s="2">
        <v>5982945.8099999996</v>
      </c>
      <c r="H282" s="2">
        <v>7917369.5700000003</v>
      </c>
      <c r="I282" s="2">
        <v>18252772.27</v>
      </c>
      <c r="J282" s="2">
        <v>1549000.79</v>
      </c>
      <c r="K282" s="2">
        <v>3620237.57</v>
      </c>
      <c r="L282">
        <v>9</v>
      </c>
      <c r="M282">
        <v>89</v>
      </c>
      <c r="N282">
        <v>48626</v>
      </c>
      <c r="O282">
        <v>50</v>
      </c>
      <c r="P282" t="s">
        <v>74</v>
      </c>
      <c r="Q282" t="s">
        <v>1001</v>
      </c>
      <c r="R282" s="2">
        <f>Table1[[#This Row],[Global_BoxOfficeUSD]]-Table1[[#This Row],[BudgetUSD]]</f>
        <v>12269826.460000001</v>
      </c>
      <c r="S282" s="15">
        <f>Table1[[#This Row],[Profit]]/Table1[[#This Row],[BudgetUSD]]</f>
        <v>2.0508001993753644</v>
      </c>
      <c r="T282" t="str">
        <f>IF(Table1[[#This Row],[ROI]]&gt;100%,"Hit","Flop")</f>
        <v>Hit</v>
      </c>
    </row>
    <row r="283" spans="1:20" x14ac:dyDescent="0.3">
      <c r="A283">
        <v>797</v>
      </c>
      <c r="B283" t="s">
        <v>1217</v>
      </c>
      <c r="C283" t="s">
        <v>38</v>
      </c>
      <c r="D283">
        <v>2001</v>
      </c>
      <c r="E283" s="1">
        <v>37043</v>
      </c>
      <c r="F283" t="s">
        <v>23</v>
      </c>
      <c r="G283" s="2">
        <v>6295714</v>
      </c>
      <c r="H283" s="2">
        <v>9855921.2300000004</v>
      </c>
      <c r="I283" s="2">
        <v>18200045.100000001</v>
      </c>
      <c r="J283" s="2">
        <v>2408789.02</v>
      </c>
      <c r="K283" s="2">
        <v>5728444.29</v>
      </c>
      <c r="L283">
        <v>3.5</v>
      </c>
      <c r="M283">
        <v>38</v>
      </c>
      <c r="N283">
        <v>3898</v>
      </c>
      <c r="O283">
        <v>94</v>
      </c>
      <c r="P283" t="s">
        <v>360</v>
      </c>
      <c r="Q283" t="s">
        <v>28</v>
      </c>
      <c r="R283" s="2">
        <f>Table1[[#This Row],[Global_BoxOfficeUSD]]-Table1[[#This Row],[BudgetUSD]]</f>
        <v>11904331.100000001</v>
      </c>
      <c r="S283" s="15">
        <f>Table1[[#This Row],[Profit]]/Table1[[#This Row],[BudgetUSD]]</f>
        <v>1.8908627520246315</v>
      </c>
      <c r="T283" t="str">
        <f>IF(Table1[[#This Row],[ROI]]&gt;100%,"Hit","Flop")</f>
        <v>Hit</v>
      </c>
    </row>
    <row r="284" spans="1:20" x14ac:dyDescent="0.3">
      <c r="A284">
        <v>922</v>
      </c>
      <c r="B284" t="s">
        <v>1330</v>
      </c>
      <c r="C284" t="s">
        <v>45</v>
      </c>
      <c r="D284">
        <v>2014</v>
      </c>
      <c r="E284" s="1">
        <v>41902</v>
      </c>
      <c r="F284" t="s">
        <v>23</v>
      </c>
      <c r="G284" s="2">
        <v>5088830.37</v>
      </c>
      <c r="H284" s="2">
        <v>9960647.0899999999</v>
      </c>
      <c r="I284" s="2">
        <v>18156251.48</v>
      </c>
      <c r="J284" s="2">
        <v>2951982.74</v>
      </c>
      <c r="K284" s="2">
        <v>5515481.3700000001</v>
      </c>
      <c r="L284">
        <v>7.2</v>
      </c>
      <c r="M284">
        <v>85</v>
      </c>
      <c r="N284">
        <v>1664</v>
      </c>
      <c r="O284">
        <v>94</v>
      </c>
      <c r="P284" t="s">
        <v>548</v>
      </c>
      <c r="Q284" t="s">
        <v>188</v>
      </c>
      <c r="R284" s="2">
        <f>Table1[[#This Row],[Global_BoxOfficeUSD]]-Table1[[#This Row],[BudgetUSD]]</f>
        <v>13067421.109999999</v>
      </c>
      <c r="S284" s="15">
        <f>Table1[[#This Row],[Profit]]/Table1[[#This Row],[BudgetUSD]]</f>
        <v>2.5678633713231829</v>
      </c>
      <c r="T284" t="str">
        <f>IF(Table1[[#This Row],[ROI]]&gt;100%,"Hit","Flop")</f>
        <v>Hit</v>
      </c>
    </row>
    <row r="285" spans="1:20" x14ac:dyDescent="0.3">
      <c r="A285">
        <v>399</v>
      </c>
      <c r="B285" t="s">
        <v>517</v>
      </c>
      <c r="C285" t="s">
        <v>18</v>
      </c>
      <c r="D285">
        <v>2023</v>
      </c>
      <c r="E285" s="1">
        <v>44938</v>
      </c>
      <c r="F285" t="s">
        <v>23</v>
      </c>
      <c r="G285" s="2">
        <v>9640630.6999999993</v>
      </c>
      <c r="H285" s="2">
        <v>11659757.76</v>
      </c>
      <c r="I285" s="2">
        <v>18083719.469999999</v>
      </c>
      <c r="J285" s="2">
        <v>1596047.14</v>
      </c>
      <c r="K285" s="2">
        <v>6620750.0499999998</v>
      </c>
      <c r="L285">
        <v>5.4</v>
      </c>
      <c r="M285">
        <v>52</v>
      </c>
      <c r="N285">
        <v>1753</v>
      </c>
      <c r="O285">
        <v>352</v>
      </c>
      <c r="P285" t="s">
        <v>202</v>
      </c>
      <c r="Q285" t="s">
        <v>609</v>
      </c>
      <c r="R285" s="2">
        <f>Table1[[#This Row],[Global_BoxOfficeUSD]]-Table1[[#This Row],[BudgetUSD]]</f>
        <v>8443088.7699999996</v>
      </c>
      <c r="S285" s="15">
        <f>Table1[[#This Row],[Profit]]/Table1[[#This Row],[BudgetUSD]]</f>
        <v>0.87578178572901877</v>
      </c>
      <c r="T285" t="str">
        <f>IF(Table1[[#This Row],[ROI]]&gt;100%,"Hit","Flop")</f>
        <v>Flop</v>
      </c>
    </row>
    <row r="286" spans="1:20" x14ac:dyDescent="0.3">
      <c r="A286">
        <v>426</v>
      </c>
      <c r="B286" t="s">
        <v>811</v>
      </c>
      <c r="C286" t="s">
        <v>33</v>
      </c>
      <c r="D286">
        <v>2011</v>
      </c>
      <c r="E286" s="1">
        <v>40547</v>
      </c>
      <c r="F286" t="s">
        <v>23</v>
      </c>
      <c r="G286" s="2">
        <v>9638677.0500000007</v>
      </c>
      <c r="H286" s="2">
        <v>7693598.8300000001</v>
      </c>
      <c r="I286" s="2">
        <v>18050043.050000001</v>
      </c>
      <c r="J286" s="2">
        <v>1553443.27</v>
      </c>
      <c r="K286" s="2">
        <v>3736723.77</v>
      </c>
      <c r="L286">
        <v>6.8</v>
      </c>
      <c r="M286">
        <v>73</v>
      </c>
      <c r="N286">
        <v>2257</v>
      </c>
      <c r="O286">
        <v>93</v>
      </c>
      <c r="P286" t="s">
        <v>74</v>
      </c>
      <c r="Q286" t="s">
        <v>564</v>
      </c>
      <c r="R286" s="2">
        <f>Table1[[#This Row],[Global_BoxOfficeUSD]]-Table1[[#This Row],[BudgetUSD]]</f>
        <v>8411366</v>
      </c>
      <c r="S286" s="15">
        <f>Table1[[#This Row],[Profit]]/Table1[[#This Row],[BudgetUSD]]</f>
        <v>0.87266810127225902</v>
      </c>
      <c r="T286" t="str">
        <f>IF(Table1[[#This Row],[ROI]]&gt;100%,"Hit","Flop")</f>
        <v>Flop</v>
      </c>
    </row>
    <row r="287" spans="1:20" x14ac:dyDescent="0.3">
      <c r="A287">
        <v>60</v>
      </c>
      <c r="B287" t="s">
        <v>194</v>
      </c>
      <c r="C287" t="s">
        <v>67</v>
      </c>
      <c r="D287">
        <v>1991</v>
      </c>
      <c r="E287" s="1">
        <v>33323</v>
      </c>
      <c r="F287" t="s">
        <v>23</v>
      </c>
      <c r="G287" s="2">
        <v>9569133.8699999992</v>
      </c>
      <c r="H287" s="2">
        <v>10137677.5</v>
      </c>
      <c r="I287" s="2">
        <v>17997208.370000001</v>
      </c>
      <c r="J287" s="2">
        <v>1205138.52</v>
      </c>
      <c r="K287" s="2">
        <v>5489799.1100000003</v>
      </c>
      <c r="L287">
        <v>4.5999999999999996</v>
      </c>
      <c r="M287">
        <v>44</v>
      </c>
      <c r="N287">
        <v>186</v>
      </c>
      <c r="O287">
        <v>1506</v>
      </c>
      <c r="P287" t="s">
        <v>195</v>
      </c>
      <c r="Q287" t="s">
        <v>196</v>
      </c>
      <c r="R287" s="2">
        <f>Table1[[#This Row],[Global_BoxOfficeUSD]]-Table1[[#This Row],[BudgetUSD]]</f>
        <v>8428074.5000000019</v>
      </c>
      <c r="S287" s="15">
        <f>Table1[[#This Row],[Profit]]/Table1[[#This Row],[BudgetUSD]]</f>
        <v>0.88075625385727863</v>
      </c>
      <c r="T287" t="str">
        <f>IF(Table1[[#This Row],[ROI]]&gt;100%,"Hit","Flop")</f>
        <v>Flop</v>
      </c>
    </row>
    <row r="288" spans="1:20" x14ac:dyDescent="0.3">
      <c r="A288">
        <v>597</v>
      </c>
      <c r="B288" t="s">
        <v>1014</v>
      </c>
      <c r="C288" t="s">
        <v>45</v>
      </c>
      <c r="D288">
        <v>1972</v>
      </c>
      <c r="E288" s="1">
        <v>26379</v>
      </c>
      <c r="F288" t="s">
        <v>23</v>
      </c>
      <c r="G288" s="2">
        <v>4224340.8899999997</v>
      </c>
      <c r="H288" s="2">
        <v>9940701.3200000003</v>
      </c>
      <c r="I288" s="2">
        <v>17827722.210000001</v>
      </c>
      <c r="J288" s="2">
        <v>2670470.13</v>
      </c>
      <c r="K288" s="2">
        <v>5193907.05</v>
      </c>
      <c r="L288">
        <v>5.6</v>
      </c>
      <c r="M288">
        <v>63</v>
      </c>
      <c r="N288">
        <v>2626</v>
      </c>
      <c r="O288">
        <v>824</v>
      </c>
      <c r="P288" t="s">
        <v>649</v>
      </c>
      <c r="Q288" t="s">
        <v>1015</v>
      </c>
      <c r="R288" s="2">
        <f>Table1[[#This Row],[Global_BoxOfficeUSD]]-Table1[[#This Row],[BudgetUSD]]</f>
        <v>13603381.32</v>
      </c>
      <c r="S288" s="15">
        <f>Table1[[#This Row],[Profit]]/Table1[[#This Row],[BudgetUSD]]</f>
        <v>3.2202375883542866</v>
      </c>
      <c r="T288" t="str">
        <f>IF(Table1[[#This Row],[ROI]]&gt;100%,"Hit","Flop")</f>
        <v>Hit</v>
      </c>
    </row>
    <row r="289" spans="1:20" x14ac:dyDescent="0.3">
      <c r="A289">
        <v>290</v>
      </c>
      <c r="B289" t="s">
        <v>628</v>
      </c>
      <c r="C289" t="s">
        <v>67</v>
      </c>
      <c r="D289">
        <v>1983</v>
      </c>
      <c r="E289" s="1">
        <v>30446</v>
      </c>
      <c r="F289" t="s">
        <v>23</v>
      </c>
      <c r="G289" s="2">
        <v>15615816.9</v>
      </c>
      <c r="H289" s="2">
        <v>10096479.310000001</v>
      </c>
      <c r="I289" s="2">
        <v>17617626.940000001</v>
      </c>
      <c r="J289" s="2">
        <v>2922726.86</v>
      </c>
      <c r="K289" s="2">
        <v>4863152.51</v>
      </c>
      <c r="L289">
        <v>5.3</v>
      </c>
      <c r="M289">
        <v>42</v>
      </c>
      <c r="N289">
        <v>305</v>
      </c>
      <c r="O289">
        <v>50</v>
      </c>
      <c r="P289" t="s">
        <v>479</v>
      </c>
      <c r="Q289" t="s">
        <v>406</v>
      </c>
      <c r="R289" s="2">
        <f>Table1[[#This Row],[Global_BoxOfficeUSD]]-Table1[[#This Row],[BudgetUSD]]</f>
        <v>2001810.040000001</v>
      </c>
      <c r="S289" s="15">
        <f>Table1[[#This Row],[Profit]]/Table1[[#This Row],[BudgetUSD]]</f>
        <v>0.12819118287689457</v>
      </c>
      <c r="T289" t="str">
        <f>IF(Table1[[#This Row],[ROI]]&gt;100%,"Hit","Flop")</f>
        <v>Flop</v>
      </c>
    </row>
    <row r="290" spans="1:20" x14ac:dyDescent="0.3">
      <c r="A290">
        <v>741</v>
      </c>
      <c r="B290" t="s">
        <v>1159</v>
      </c>
      <c r="C290" t="s">
        <v>77</v>
      </c>
      <c r="D290">
        <v>2020</v>
      </c>
      <c r="E290" s="1">
        <v>43952</v>
      </c>
      <c r="F290" t="s">
        <v>23</v>
      </c>
      <c r="G290" s="2">
        <v>5570898.1200000001</v>
      </c>
      <c r="H290" s="2">
        <v>11788574.07</v>
      </c>
      <c r="I290" s="2">
        <v>17591846.809999999</v>
      </c>
      <c r="J290" s="2">
        <v>1479281.29</v>
      </c>
      <c r="K290" s="2">
        <v>6704668.4299999997</v>
      </c>
      <c r="L290">
        <v>5.9</v>
      </c>
      <c r="M290">
        <v>65</v>
      </c>
      <c r="N290">
        <v>13206</v>
      </c>
      <c r="O290">
        <v>421</v>
      </c>
      <c r="P290" t="s">
        <v>479</v>
      </c>
      <c r="Q290" t="s">
        <v>437</v>
      </c>
      <c r="R290" s="2">
        <f>Table1[[#This Row],[Global_BoxOfficeUSD]]-Table1[[#This Row],[BudgetUSD]]</f>
        <v>12020948.689999998</v>
      </c>
      <c r="S290" s="15">
        <f>Table1[[#This Row],[Profit]]/Table1[[#This Row],[BudgetUSD]]</f>
        <v>2.1578116187125671</v>
      </c>
      <c r="T290" t="str">
        <f>IF(Table1[[#This Row],[ROI]]&gt;100%,"Hit","Flop")</f>
        <v>Hit</v>
      </c>
    </row>
    <row r="291" spans="1:20" x14ac:dyDescent="0.3">
      <c r="A291">
        <v>967</v>
      </c>
      <c r="B291" t="s">
        <v>1376</v>
      </c>
      <c r="C291" t="s">
        <v>77</v>
      </c>
      <c r="D291">
        <v>2012</v>
      </c>
      <c r="E291" s="1">
        <v>41230</v>
      </c>
      <c r="F291" t="s">
        <v>23</v>
      </c>
      <c r="G291" s="2">
        <v>7474245.3399999999</v>
      </c>
      <c r="H291" s="2">
        <v>8992448.0199999996</v>
      </c>
      <c r="I291" s="2">
        <v>17566303.300000001</v>
      </c>
      <c r="J291" s="2">
        <v>1670559.5</v>
      </c>
      <c r="K291" s="2">
        <v>4507783.7</v>
      </c>
      <c r="L291">
        <v>7.4</v>
      </c>
      <c r="M291">
        <v>75</v>
      </c>
      <c r="N291">
        <v>2253</v>
      </c>
      <c r="O291">
        <v>530</v>
      </c>
      <c r="P291" t="s">
        <v>302</v>
      </c>
      <c r="Q291" t="s">
        <v>532</v>
      </c>
      <c r="R291" s="2">
        <f>Table1[[#This Row],[Global_BoxOfficeUSD]]-Table1[[#This Row],[BudgetUSD]]</f>
        <v>10092057.960000001</v>
      </c>
      <c r="S291" s="15">
        <f>Table1[[#This Row],[Profit]]/Table1[[#This Row],[BudgetUSD]]</f>
        <v>1.350244406079397</v>
      </c>
      <c r="T291" t="str">
        <f>IF(Table1[[#This Row],[ROI]]&gt;100%,"Hit","Flop")</f>
        <v>Hit</v>
      </c>
    </row>
    <row r="292" spans="1:20" x14ac:dyDescent="0.3">
      <c r="A292">
        <v>111</v>
      </c>
      <c r="B292" t="s">
        <v>312</v>
      </c>
      <c r="C292" t="s">
        <v>67</v>
      </c>
      <c r="D292">
        <v>1995</v>
      </c>
      <c r="E292" s="1">
        <v>35051</v>
      </c>
      <c r="F292" t="s">
        <v>249</v>
      </c>
      <c r="G292" s="2">
        <v>10900558.91</v>
      </c>
      <c r="H292" s="2">
        <v>8794361.5600000005</v>
      </c>
      <c r="I292" s="2">
        <v>17537275.920000002</v>
      </c>
      <c r="J292" s="2">
        <v>1572973.69</v>
      </c>
      <c r="K292" s="2">
        <v>3825956.9</v>
      </c>
      <c r="L292">
        <v>7.1</v>
      </c>
      <c r="M292">
        <v>70</v>
      </c>
      <c r="N292">
        <v>6820</v>
      </c>
      <c r="O292">
        <v>50</v>
      </c>
      <c r="P292" t="s">
        <v>68</v>
      </c>
      <c r="Q292" t="s">
        <v>112</v>
      </c>
      <c r="R292" s="2">
        <f>Table1[[#This Row],[Global_BoxOfficeUSD]]-Table1[[#This Row],[BudgetUSD]]</f>
        <v>6636717.0100000016</v>
      </c>
      <c r="S292" s="15">
        <f>Table1[[#This Row],[Profit]]/Table1[[#This Row],[BudgetUSD]]</f>
        <v>0.60884190111679348</v>
      </c>
      <c r="T292" t="str">
        <f>IF(Table1[[#This Row],[ROI]]&gt;100%,"Hit","Flop")</f>
        <v>Flop</v>
      </c>
    </row>
    <row r="293" spans="1:20" x14ac:dyDescent="0.3">
      <c r="A293">
        <v>919</v>
      </c>
      <c r="B293" t="s">
        <v>1328</v>
      </c>
      <c r="C293" t="s">
        <v>18</v>
      </c>
      <c r="D293">
        <v>2012</v>
      </c>
      <c r="E293" s="1">
        <v>41002</v>
      </c>
      <c r="F293" t="s">
        <v>132</v>
      </c>
      <c r="G293" s="2">
        <v>5219178.34</v>
      </c>
      <c r="H293" s="2">
        <v>10007915.039999999</v>
      </c>
      <c r="I293" s="2">
        <v>17524922.559999999</v>
      </c>
      <c r="J293" s="2">
        <v>1416815.76</v>
      </c>
      <c r="K293" s="2">
        <v>4855078.1399999997</v>
      </c>
      <c r="L293">
        <v>8.5</v>
      </c>
      <c r="M293">
        <v>76</v>
      </c>
      <c r="N293">
        <v>4741</v>
      </c>
      <c r="O293">
        <v>70</v>
      </c>
      <c r="P293" t="s">
        <v>794</v>
      </c>
      <c r="Q293" t="s">
        <v>476</v>
      </c>
      <c r="R293" s="2">
        <f>Table1[[#This Row],[Global_BoxOfficeUSD]]-Table1[[#This Row],[BudgetUSD]]</f>
        <v>12305744.219999999</v>
      </c>
      <c r="S293" s="15">
        <f>Table1[[#This Row],[Profit]]/Table1[[#This Row],[BudgetUSD]]</f>
        <v>2.3577933955021737</v>
      </c>
      <c r="T293" t="str">
        <f>IF(Table1[[#This Row],[ROI]]&gt;100%,"Hit","Flop")</f>
        <v>Hit</v>
      </c>
    </row>
    <row r="294" spans="1:20" x14ac:dyDescent="0.3">
      <c r="A294">
        <v>152</v>
      </c>
      <c r="B294" t="s">
        <v>392</v>
      </c>
      <c r="C294" t="s">
        <v>77</v>
      </c>
      <c r="D294">
        <v>2014</v>
      </c>
      <c r="E294" s="1">
        <v>41700</v>
      </c>
      <c r="F294" t="s">
        <v>23</v>
      </c>
      <c r="G294" s="2">
        <v>3880973.09</v>
      </c>
      <c r="H294" s="2">
        <v>7592809.9699999997</v>
      </c>
      <c r="I294" s="2">
        <v>17476813.649999999</v>
      </c>
      <c r="J294" s="2">
        <v>1835130.49</v>
      </c>
      <c r="K294" s="2">
        <v>4422801.2300000004</v>
      </c>
      <c r="L294">
        <v>8.1999999999999993</v>
      </c>
      <c r="M294">
        <v>78</v>
      </c>
      <c r="N294">
        <v>5010</v>
      </c>
      <c r="O294">
        <v>127</v>
      </c>
      <c r="P294" t="s">
        <v>393</v>
      </c>
      <c r="Q294" t="s">
        <v>394</v>
      </c>
      <c r="R294" s="2">
        <f>Table1[[#This Row],[Global_BoxOfficeUSD]]-Table1[[#This Row],[BudgetUSD]]</f>
        <v>13595840.559999999</v>
      </c>
      <c r="S294" s="15">
        <f>Table1[[#This Row],[Profit]]/Table1[[#This Row],[BudgetUSD]]</f>
        <v>3.5032040276269987</v>
      </c>
      <c r="T294" t="str">
        <f>IF(Table1[[#This Row],[ROI]]&gt;100%,"Hit","Flop")</f>
        <v>Hit</v>
      </c>
    </row>
    <row r="295" spans="1:20" x14ac:dyDescent="0.3">
      <c r="A295">
        <v>126</v>
      </c>
      <c r="B295" t="s">
        <v>345</v>
      </c>
      <c r="C295" t="s">
        <v>45</v>
      </c>
      <c r="D295">
        <v>2006</v>
      </c>
      <c r="E295" s="1">
        <v>38874</v>
      </c>
      <c r="F295" t="s">
        <v>23</v>
      </c>
      <c r="G295" s="2">
        <v>3844619.63</v>
      </c>
      <c r="H295" s="2">
        <v>7888249.6699999999</v>
      </c>
      <c r="I295" s="2">
        <v>17390174.850000001</v>
      </c>
      <c r="J295" s="2">
        <v>1383874.1</v>
      </c>
      <c r="K295" s="2">
        <v>4194181</v>
      </c>
      <c r="L295">
        <v>7.2</v>
      </c>
      <c r="M295">
        <v>70</v>
      </c>
      <c r="N295">
        <v>6905</v>
      </c>
      <c r="O295">
        <v>50</v>
      </c>
      <c r="P295" t="s">
        <v>271</v>
      </c>
      <c r="Q295" t="s">
        <v>109</v>
      </c>
      <c r="R295" s="2">
        <f>Table1[[#This Row],[Global_BoxOfficeUSD]]-Table1[[#This Row],[BudgetUSD]]</f>
        <v>13545555.220000003</v>
      </c>
      <c r="S295" s="15">
        <f>Table1[[#This Row],[Profit]]/Table1[[#This Row],[BudgetUSD]]</f>
        <v>3.5232497681441641</v>
      </c>
      <c r="T295" t="str">
        <f>IF(Table1[[#This Row],[ROI]]&gt;100%,"Hit","Flop")</f>
        <v>Hit</v>
      </c>
    </row>
    <row r="296" spans="1:20" x14ac:dyDescent="0.3">
      <c r="A296">
        <v>849</v>
      </c>
      <c r="B296" t="s">
        <v>1266</v>
      </c>
      <c r="C296" t="s">
        <v>38</v>
      </c>
      <c r="D296">
        <v>1982</v>
      </c>
      <c r="E296" s="1">
        <v>30044</v>
      </c>
      <c r="F296" t="s">
        <v>23</v>
      </c>
      <c r="G296" s="2">
        <v>4151248.26</v>
      </c>
      <c r="H296" s="2">
        <v>11843689.48</v>
      </c>
      <c r="I296" s="2">
        <v>17329807.530000001</v>
      </c>
      <c r="J296" s="2">
        <v>2329138.06</v>
      </c>
      <c r="K296" s="2">
        <v>5181263.01</v>
      </c>
      <c r="L296">
        <v>8</v>
      </c>
      <c r="M296">
        <v>66</v>
      </c>
      <c r="N296">
        <v>3507</v>
      </c>
      <c r="O296">
        <v>914</v>
      </c>
      <c r="P296" t="s">
        <v>427</v>
      </c>
      <c r="Q296" t="s">
        <v>1239</v>
      </c>
      <c r="R296" s="2">
        <f>Table1[[#This Row],[Global_BoxOfficeUSD]]-Table1[[#This Row],[BudgetUSD]]</f>
        <v>13178559.270000001</v>
      </c>
      <c r="S296" s="15">
        <f>Table1[[#This Row],[Profit]]/Table1[[#This Row],[BudgetUSD]]</f>
        <v>3.1746015763460993</v>
      </c>
      <c r="T296" t="str">
        <f>IF(Table1[[#This Row],[ROI]]&gt;100%,"Hit","Flop")</f>
        <v>Hit</v>
      </c>
    </row>
    <row r="297" spans="1:20" x14ac:dyDescent="0.3">
      <c r="A297">
        <v>276</v>
      </c>
      <c r="B297" t="s">
        <v>610</v>
      </c>
      <c r="C297" t="s">
        <v>38</v>
      </c>
      <c r="D297">
        <v>1980</v>
      </c>
      <c r="E297" s="1">
        <v>29556</v>
      </c>
      <c r="F297" t="s">
        <v>23</v>
      </c>
      <c r="G297" s="2">
        <v>4203095.22</v>
      </c>
      <c r="H297" s="2">
        <v>10730172.35</v>
      </c>
      <c r="I297" s="2">
        <v>17298205.41</v>
      </c>
      <c r="J297" s="2">
        <v>2708371.88</v>
      </c>
      <c r="K297" s="2">
        <v>6126842.3099999996</v>
      </c>
      <c r="L297">
        <v>6.1</v>
      </c>
      <c r="M297">
        <v>58</v>
      </c>
      <c r="N297">
        <v>3544</v>
      </c>
      <c r="O297">
        <v>601</v>
      </c>
      <c r="P297" t="s">
        <v>30</v>
      </c>
      <c r="Q297" t="s">
        <v>611</v>
      </c>
      <c r="R297" s="2">
        <f>Table1[[#This Row],[Global_BoxOfficeUSD]]-Table1[[#This Row],[BudgetUSD]]</f>
        <v>13095110.190000001</v>
      </c>
      <c r="S297" s="15">
        <f>Table1[[#This Row],[Profit]]/Table1[[#This Row],[BudgetUSD]]</f>
        <v>3.115587324238636</v>
      </c>
      <c r="T297" t="str">
        <f>IF(Table1[[#This Row],[ROI]]&gt;100%,"Hit","Flop")</f>
        <v>Hit</v>
      </c>
    </row>
    <row r="298" spans="1:20" x14ac:dyDescent="0.3">
      <c r="A298">
        <v>673</v>
      </c>
      <c r="B298" t="s">
        <v>1092</v>
      </c>
      <c r="C298" t="s">
        <v>33</v>
      </c>
      <c r="D298">
        <v>2010</v>
      </c>
      <c r="E298" s="1">
        <v>40313</v>
      </c>
      <c r="F298" t="s">
        <v>23</v>
      </c>
      <c r="G298" s="2">
        <v>3505865.97</v>
      </c>
      <c r="H298" s="2">
        <v>11144151.74</v>
      </c>
      <c r="I298" s="2">
        <v>17277152.920000002</v>
      </c>
      <c r="J298" s="2">
        <v>2203482.83</v>
      </c>
      <c r="K298" s="2">
        <v>5637649.6799999997</v>
      </c>
      <c r="L298">
        <v>8.1</v>
      </c>
      <c r="M298">
        <v>78</v>
      </c>
      <c r="N298">
        <v>5111</v>
      </c>
      <c r="O298">
        <v>20178</v>
      </c>
      <c r="P298" t="s">
        <v>234</v>
      </c>
      <c r="Q298" t="s">
        <v>1093</v>
      </c>
      <c r="R298" s="2">
        <f>Table1[[#This Row],[Global_BoxOfficeUSD]]-Table1[[#This Row],[BudgetUSD]]</f>
        <v>13771286.950000001</v>
      </c>
      <c r="S298" s="15">
        <f>Table1[[#This Row],[Profit]]/Table1[[#This Row],[BudgetUSD]]</f>
        <v>3.9280700026304771</v>
      </c>
      <c r="T298" t="str">
        <f>IF(Table1[[#This Row],[ROI]]&gt;100%,"Hit","Flop")</f>
        <v>Hit</v>
      </c>
    </row>
    <row r="299" spans="1:20" x14ac:dyDescent="0.3">
      <c r="A299">
        <v>644</v>
      </c>
      <c r="B299" t="s">
        <v>1064</v>
      </c>
      <c r="C299" t="s">
        <v>18</v>
      </c>
      <c r="D299">
        <v>2012</v>
      </c>
      <c r="E299" s="1">
        <v>40942</v>
      </c>
      <c r="F299" t="s">
        <v>23</v>
      </c>
      <c r="G299" s="2">
        <v>13077758.59</v>
      </c>
      <c r="H299" s="2">
        <v>9598124.2300000004</v>
      </c>
      <c r="I299" s="2">
        <v>17228529.170000002</v>
      </c>
      <c r="J299" s="2">
        <v>1328032.6000000001</v>
      </c>
      <c r="K299" s="2">
        <v>5699279.8200000003</v>
      </c>
      <c r="L299">
        <v>4.2</v>
      </c>
      <c r="M299">
        <v>47</v>
      </c>
      <c r="N299">
        <v>4870</v>
      </c>
      <c r="O299">
        <v>50</v>
      </c>
      <c r="P299" t="s">
        <v>264</v>
      </c>
      <c r="Q299" t="s">
        <v>389</v>
      </c>
      <c r="R299" s="2">
        <f>Table1[[#This Row],[Global_BoxOfficeUSD]]-Table1[[#This Row],[BudgetUSD]]</f>
        <v>4150770.5800000019</v>
      </c>
      <c r="S299" s="15">
        <f>Table1[[#This Row],[Profit]]/Table1[[#This Row],[BudgetUSD]]</f>
        <v>0.31739158904293568</v>
      </c>
      <c r="T299" t="str">
        <f>IF(Table1[[#This Row],[ROI]]&gt;100%,"Hit","Flop")</f>
        <v>Flop</v>
      </c>
    </row>
    <row r="300" spans="1:20" x14ac:dyDescent="0.3">
      <c r="A300">
        <v>235</v>
      </c>
      <c r="B300" t="s">
        <v>547</v>
      </c>
      <c r="C300" t="s">
        <v>33</v>
      </c>
      <c r="D300">
        <v>1991</v>
      </c>
      <c r="E300" s="1">
        <v>33356</v>
      </c>
      <c r="F300" t="s">
        <v>23</v>
      </c>
      <c r="G300" s="2">
        <v>4994486.33</v>
      </c>
      <c r="H300" s="2">
        <v>10147754.720000001</v>
      </c>
      <c r="I300" s="2">
        <v>17210024.780000001</v>
      </c>
      <c r="J300" s="2">
        <v>2320552.4700000002</v>
      </c>
      <c r="K300" s="2">
        <v>4274136.7</v>
      </c>
      <c r="L300">
        <v>5.6</v>
      </c>
      <c r="M300">
        <v>57</v>
      </c>
      <c r="N300">
        <v>572</v>
      </c>
      <c r="O300">
        <v>750</v>
      </c>
      <c r="P300" t="s">
        <v>184</v>
      </c>
      <c r="Q300" t="s">
        <v>175</v>
      </c>
      <c r="R300" s="2">
        <f>Table1[[#This Row],[Global_BoxOfficeUSD]]-Table1[[#This Row],[BudgetUSD]]</f>
        <v>12215538.450000001</v>
      </c>
      <c r="S300" s="15">
        <f>Table1[[#This Row],[Profit]]/Table1[[#This Row],[BudgetUSD]]</f>
        <v>2.4458047620684948</v>
      </c>
      <c r="T300" t="str">
        <f>IF(Table1[[#This Row],[ROI]]&gt;100%,"Hit","Flop")</f>
        <v>Hit</v>
      </c>
    </row>
    <row r="301" spans="1:20" x14ac:dyDescent="0.3">
      <c r="A301">
        <v>18</v>
      </c>
      <c r="B301" t="s">
        <v>76</v>
      </c>
      <c r="C301" t="s">
        <v>77</v>
      </c>
      <c r="D301">
        <v>1963</v>
      </c>
      <c r="E301" s="1">
        <v>23258</v>
      </c>
      <c r="F301" t="s">
        <v>23</v>
      </c>
      <c r="G301" s="2">
        <v>4036756.47</v>
      </c>
      <c r="H301" s="2">
        <v>8983230.1899999995</v>
      </c>
      <c r="I301" s="2">
        <v>17172258.41</v>
      </c>
      <c r="J301" s="2">
        <v>1633753.84</v>
      </c>
      <c r="K301" s="2">
        <v>4621801.17</v>
      </c>
      <c r="L301">
        <v>8.1</v>
      </c>
      <c r="M301">
        <v>82</v>
      </c>
      <c r="N301">
        <v>24249</v>
      </c>
      <c r="O301">
        <v>50</v>
      </c>
      <c r="P301" t="s">
        <v>74</v>
      </c>
      <c r="Q301" t="s">
        <v>78</v>
      </c>
      <c r="R301" s="2">
        <f>Table1[[#This Row],[Global_BoxOfficeUSD]]-Table1[[#This Row],[BudgetUSD]]</f>
        <v>13135501.939999999</v>
      </c>
      <c r="S301" s="15">
        <f>Table1[[#This Row],[Profit]]/Table1[[#This Row],[BudgetUSD]]</f>
        <v>3.2539743325165214</v>
      </c>
      <c r="T301" t="str">
        <f>IF(Table1[[#This Row],[ROI]]&gt;100%,"Hit","Flop")</f>
        <v>Hit</v>
      </c>
    </row>
    <row r="302" spans="1:20" x14ac:dyDescent="0.3">
      <c r="A302">
        <v>585</v>
      </c>
      <c r="B302" t="s">
        <v>1000</v>
      </c>
      <c r="C302" t="s">
        <v>18</v>
      </c>
      <c r="D302">
        <v>2014</v>
      </c>
      <c r="E302" s="1">
        <v>41683</v>
      </c>
      <c r="F302" t="s">
        <v>23</v>
      </c>
      <c r="G302" s="2">
        <v>4052703.98</v>
      </c>
      <c r="H302" s="2">
        <v>11399555.34</v>
      </c>
      <c r="I302" s="2">
        <v>17149552.530000001</v>
      </c>
      <c r="J302" s="2">
        <v>2801026.66</v>
      </c>
      <c r="K302" s="2">
        <v>5020310.83</v>
      </c>
      <c r="L302">
        <v>6.5</v>
      </c>
      <c r="M302">
        <v>60</v>
      </c>
      <c r="N302">
        <v>743</v>
      </c>
      <c r="O302">
        <v>165</v>
      </c>
      <c r="P302" t="s">
        <v>794</v>
      </c>
      <c r="Q302" t="s">
        <v>1001</v>
      </c>
      <c r="R302" s="2">
        <f>Table1[[#This Row],[Global_BoxOfficeUSD]]-Table1[[#This Row],[BudgetUSD]]</f>
        <v>13096848.550000001</v>
      </c>
      <c r="S302" s="15">
        <f>Table1[[#This Row],[Profit]]/Table1[[#This Row],[BudgetUSD]]</f>
        <v>3.2316321682098281</v>
      </c>
      <c r="T302" t="str">
        <f>IF(Table1[[#This Row],[ROI]]&gt;100%,"Hit","Flop")</f>
        <v>Hit</v>
      </c>
    </row>
    <row r="303" spans="1:20" x14ac:dyDescent="0.3">
      <c r="A303">
        <v>678</v>
      </c>
      <c r="B303" t="s">
        <v>1096</v>
      </c>
      <c r="C303" t="s">
        <v>86</v>
      </c>
      <c r="D303">
        <v>1969</v>
      </c>
      <c r="E303" s="1">
        <v>25402</v>
      </c>
      <c r="F303" t="s">
        <v>23</v>
      </c>
      <c r="G303" s="2">
        <v>12093534.24</v>
      </c>
      <c r="H303" s="2">
        <v>11844940.619999999</v>
      </c>
      <c r="I303" s="2">
        <v>17147388.739999998</v>
      </c>
      <c r="J303" s="2">
        <v>2160006.4</v>
      </c>
      <c r="K303" s="2">
        <v>5317734.42</v>
      </c>
      <c r="L303">
        <v>6.2</v>
      </c>
      <c r="M303">
        <v>54</v>
      </c>
      <c r="N303">
        <v>1916</v>
      </c>
      <c r="O303">
        <v>342</v>
      </c>
      <c r="P303" t="s">
        <v>80</v>
      </c>
      <c r="Q303" t="s">
        <v>1097</v>
      </c>
      <c r="R303" s="2">
        <f>Table1[[#This Row],[Global_BoxOfficeUSD]]-Table1[[#This Row],[BudgetUSD]]</f>
        <v>5053854.4999999981</v>
      </c>
      <c r="S303" s="15">
        <f>Table1[[#This Row],[Profit]]/Table1[[#This Row],[BudgetUSD]]</f>
        <v>0.4178972333235812</v>
      </c>
      <c r="T303" t="str">
        <f>IF(Table1[[#This Row],[ROI]]&gt;100%,"Hit","Flop")</f>
        <v>Flop</v>
      </c>
    </row>
    <row r="304" spans="1:20" x14ac:dyDescent="0.3">
      <c r="A304">
        <v>119</v>
      </c>
      <c r="B304" t="s">
        <v>330</v>
      </c>
      <c r="C304" t="s">
        <v>18</v>
      </c>
      <c r="D304">
        <v>1985</v>
      </c>
      <c r="E304" s="1">
        <v>31170</v>
      </c>
      <c r="F304" t="s">
        <v>23</v>
      </c>
      <c r="G304" s="2">
        <v>17027926.539999999</v>
      </c>
      <c r="H304" s="2">
        <v>11189963.050000001</v>
      </c>
      <c r="I304" s="2">
        <v>17027926.539999999</v>
      </c>
      <c r="J304" s="2">
        <v>2578517.36</v>
      </c>
      <c r="K304" s="2">
        <v>4527574.68</v>
      </c>
      <c r="L304">
        <v>6.4</v>
      </c>
      <c r="M304">
        <v>61</v>
      </c>
      <c r="N304">
        <v>1892</v>
      </c>
      <c r="O304">
        <v>16043</v>
      </c>
      <c r="P304" t="s">
        <v>64</v>
      </c>
      <c r="Q304" t="s">
        <v>331</v>
      </c>
      <c r="R304" s="2">
        <f>Table1[[#This Row],[Global_BoxOfficeUSD]]-Table1[[#This Row],[BudgetUSD]]</f>
        <v>0</v>
      </c>
      <c r="S304" s="15">
        <f>Table1[[#This Row],[Profit]]/Table1[[#This Row],[BudgetUSD]]</f>
        <v>0</v>
      </c>
      <c r="T304" t="str">
        <f>IF(Table1[[#This Row],[ROI]]&gt;100%,"Hit","Flop")</f>
        <v>Flop</v>
      </c>
    </row>
    <row r="305" spans="1:20" x14ac:dyDescent="0.3">
      <c r="A305">
        <v>376</v>
      </c>
      <c r="B305" t="s">
        <v>743</v>
      </c>
      <c r="C305" t="s">
        <v>33</v>
      </c>
      <c r="D305">
        <v>2014</v>
      </c>
      <c r="E305" s="1">
        <v>41959</v>
      </c>
      <c r="F305" t="s">
        <v>23</v>
      </c>
      <c r="G305" s="2">
        <v>4485198.2699999996</v>
      </c>
      <c r="H305" s="2">
        <v>11101827.359999999</v>
      </c>
      <c r="I305" s="2">
        <v>16748520.73</v>
      </c>
      <c r="J305" s="2">
        <v>2249258.5299999998</v>
      </c>
      <c r="K305" s="2">
        <v>6560798.7000000002</v>
      </c>
      <c r="L305">
        <v>7.7</v>
      </c>
      <c r="M305">
        <v>74</v>
      </c>
      <c r="N305">
        <v>1826</v>
      </c>
      <c r="O305">
        <v>240</v>
      </c>
      <c r="P305" t="s">
        <v>221</v>
      </c>
      <c r="Q305" t="s">
        <v>340</v>
      </c>
      <c r="R305" s="2">
        <f>Table1[[#This Row],[Global_BoxOfficeUSD]]-Table1[[#This Row],[BudgetUSD]]</f>
        <v>12263322.460000001</v>
      </c>
      <c r="S305" s="15">
        <f>Table1[[#This Row],[Profit]]/Table1[[#This Row],[BudgetUSD]]</f>
        <v>2.7341762218239691</v>
      </c>
      <c r="T305" t="str">
        <f>IF(Table1[[#This Row],[ROI]]&gt;100%,"Hit","Flop")</f>
        <v>Hit</v>
      </c>
    </row>
    <row r="306" spans="1:20" x14ac:dyDescent="0.3">
      <c r="A306">
        <v>939</v>
      </c>
      <c r="B306" t="s">
        <v>1346</v>
      </c>
      <c r="C306" t="s">
        <v>38</v>
      </c>
      <c r="D306">
        <v>1988</v>
      </c>
      <c r="E306" s="1">
        <v>32259</v>
      </c>
      <c r="F306" t="s">
        <v>23</v>
      </c>
      <c r="G306" s="2">
        <v>6255290.3899999997</v>
      </c>
      <c r="H306" s="2">
        <v>10373387.16</v>
      </c>
      <c r="I306" s="2">
        <v>16695066.26</v>
      </c>
      <c r="J306" s="2">
        <v>2074654.95</v>
      </c>
      <c r="K306" s="2">
        <v>4173288.95</v>
      </c>
      <c r="L306">
        <v>7.7</v>
      </c>
      <c r="M306">
        <v>86</v>
      </c>
      <c r="N306">
        <v>3037</v>
      </c>
      <c r="O306">
        <v>354</v>
      </c>
      <c r="P306" t="s">
        <v>334</v>
      </c>
      <c r="Q306" t="s">
        <v>1163</v>
      </c>
      <c r="R306" s="2">
        <f>Table1[[#This Row],[Global_BoxOfficeUSD]]-Table1[[#This Row],[BudgetUSD]]</f>
        <v>10439775.870000001</v>
      </c>
      <c r="S306" s="15">
        <f>Table1[[#This Row],[Profit]]/Table1[[#This Row],[BudgetUSD]]</f>
        <v>1.6689514345632164</v>
      </c>
      <c r="T306" t="str">
        <f>IF(Table1[[#This Row],[ROI]]&gt;100%,"Hit","Flop")</f>
        <v>Hit</v>
      </c>
    </row>
    <row r="307" spans="1:20" x14ac:dyDescent="0.3">
      <c r="A307">
        <v>63</v>
      </c>
      <c r="B307" t="s">
        <v>201</v>
      </c>
      <c r="C307" t="s">
        <v>18</v>
      </c>
      <c r="D307">
        <v>2003</v>
      </c>
      <c r="E307" s="1">
        <v>37737</v>
      </c>
      <c r="F307" t="s">
        <v>23</v>
      </c>
      <c r="G307" s="2">
        <v>5331369.42</v>
      </c>
      <c r="H307" s="2">
        <v>11324332.140000001</v>
      </c>
      <c r="I307" s="2">
        <v>16462359.050000001</v>
      </c>
      <c r="J307" s="2">
        <v>2060189.92</v>
      </c>
      <c r="K307" s="2">
        <v>5208204.97</v>
      </c>
      <c r="L307">
        <v>7.5</v>
      </c>
      <c r="M307">
        <v>82</v>
      </c>
      <c r="N307">
        <v>10760</v>
      </c>
      <c r="O307">
        <v>50</v>
      </c>
      <c r="P307" t="s">
        <v>202</v>
      </c>
      <c r="Q307" t="s">
        <v>203</v>
      </c>
      <c r="R307" s="2">
        <f>Table1[[#This Row],[Global_BoxOfficeUSD]]-Table1[[#This Row],[BudgetUSD]]</f>
        <v>11130989.630000001</v>
      </c>
      <c r="S307" s="15">
        <f>Table1[[#This Row],[Profit]]/Table1[[#This Row],[BudgetUSD]]</f>
        <v>2.087829364861383</v>
      </c>
      <c r="T307" t="str">
        <f>IF(Table1[[#This Row],[ROI]]&gt;100%,"Hit","Flop")</f>
        <v>Hit</v>
      </c>
    </row>
    <row r="308" spans="1:20" x14ac:dyDescent="0.3">
      <c r="A308">
        <v>370</v>
      </c>
      <c r="B308" t="s">
        <v>735</v>
      </c>
      <c r="C308" t="s">
        <v>33</v>
      </c>
      <c r="D308">
        <v>1957</v>
      </c>
      <c r="E308" s="1">
        <v>20975</v>
      </c>
      <c r="F308" t="s">
        <v>23</v>
      </c>
      <c r="G308" s="2">
        <v>5972759.9000000004</v>
      </c>
      <c r="H308" s="2">
        <v>10773614.619999999</v>
      </c>
      <c r="I308" s="2">
        <v>16459145.289999999</v>
      </c>
      <c r="J308" s="2">
        <v>3002476.83</v>
      </c>
      <c r="K308" s="2">
        <v>4499344.29</v>
      </c>
      <c r="L308">
        <v>5.2</v>
      </c>
      <c r="M308">
        <v>61</v>
      </c>
      <c r="N308">
        <v>222</v>
      </c>
      <c r="O308">
        <v>1960</v>
      </c>
      <c r="P308" t="s">
        <v>205</v>
      </c>
      <c r="Q308" t="s">
        <v>121</v>
      </c>
      <c r="R308" s="2">
        <f>Table1[[#This Row],[Global_BoxOfficeUSD]]-Table1[[#This Row],[BudgetUSD]]</f>
        <v>10486385.389999999</v>
      </c>
      <c r="S308" s="15">
        <f>Table1[[#This Row],[Profit]]/Table1[[#This Row],[BudgetUSD]]</f>
        <v>1.7557018138298173</v>
      </c>
      <c r="T308" t="str">
        <f>IF(Table1[[#This Row],[ROI]]&gt;100%,"Hit","Flop")</f>
        <v>Hit</v>
      </c>
    </row>
    <row r="309" spans="1:20" x14ac:dyDescent="0.3">
      <c r="A309">
        <v>608</v>
      </c>
      <c r="B309" t="s">
        <v>1027</v>
      </c>
      <c r="C309" t="s">
        <v>45</v>
      </c>
      <c r="D309">
        <v>1991</v>
      </c>
      <c r="E309" s="1">
        <v>33320</v>
      </c>
      <c r="F309" t="s">
        <v>23</v>
      </c>
      <c r="G309" s="2">
        <v>6800848.3499999996</v>
      </c>
      <c r="H309" s="2">
        <v>7127326.1100000003</v>
      </c>
      <c r="I309" s="2">
        <v>16435641.890000001</v>
      </c>
      <c r="J309" s="2">
        <v>1020473.22</v>
      </c>
      <c r="K309" s="2">
        <v>3782770.88</v>
      </c>
      <c r="L309">
        <v>6.8</v>
      </c>
      <c r="M309">
        <v>63</v>
      </c>
      <c r="N309">
        <v>901</v>
      </c>
      <c r="O309">
        <v>50</v>
      </c>
      <c r="P309" t="s">
        <v>302</v>
      </c>
      <c r="Q309" t="s">
        <v>590</v>
      </c>
      <c r="R309" s="2">
        <f>Table1[[#This Row],[Global_BoxOfficeUSD]]-Table1[[#This Row],[BudgetUSD]]</f>
        <v>9634793.540000001</v>
      </c>
      <c r="S309" s="15">
        <f>Table1[[#This Row],[Profit]]/Table1[[#This Row],[BudgetUSD]]</f>
        <v>1.416704658618068</v>
      </c>
      <c r="T309" t="str">
        <f>IF(Table1[[#This Row],[ROI]]&gt;100%,"Hit","Flop")</f>
        <v>Hit</v>
      </c>
    </row>
    <row r="310" spans="1:20" x14ac:dyDescent="0.3">
      <c r="A310">
        <v>502</v>
      </c>
      <c r="B310" t="s">
        <v>908</v>
      </c>
      <c r="C310" t="s">
        <v>107</v>
      </c>
      <c r="D310">
        <v>1974</v>
      </c>
      <c r="E310" s="1">
        <v>27077</v>
      </c>
      <c r="F310" t="s">
        <v>34</v>
      </c>
      <c r="G310" s="2">
        <v>7536353.7400000002</v>
      </c>
      <c r="H310" s="2">
        <v>8598076.2400000002</v>
      </c>
      <c r="I310" s="2">
        <v>16354885.640000001</v>
      </c>
      <c r="J310" s="2">
        <v>1090926.32</v>
      </c>
      <c r="K310" s="2">
        <v>4992995.03</v>
      </c>
      <c r="L310">
        <v>4.2</v>
      </c>
      <c r="M310">
        <v>56</v>
      </c>
      <c r="N310">
        <v>5206</v>
      </c>
      <c r="O310">
        <v>360</v>
      </c>
      <c r="P310" t="s">
        <v>302</v>
      </c>
      <c r="Q310" t="s">
        <v>190</v>
      </c>
      <c r="R310" s="2">
        <f>Table1[[#This Row],[Global_BoxOfficeUSD]]-Table1[[#This Row],[BudgetUSD]]</f>
        <v>8818531.9000000004</v>
      </c>
      <c r="S310" s="15">
        <f>Table1[[#This Row],[Profit]]/Table1[[#This Row],[BudgetUSD]]</f>
        <v>1.1701324279929568</v>
      </c>
      <c r="T310" t="str">
        <f>IF(Table1[[#This Row],[ROI]]&gt;100%,"Hit","Flop")</f>
        <v>Hit</v>
      </c>
    </row>
    <row r="311" spans="1:20" x14ac:dyDescent="0.3">
      <c r="A311">
        <v>104</v>
      </c>
      <c r="B311" t="s">
        <v>296</v>
      </c>
      <c r="C311" t="s">
        <v>67</v>
      </c>
      <c r="D311">
        <v>1982</v>
      </c>
      <c r="E311" s="1">
        <v>30278</v>
      </c>
      <c r="F311" t="s">
        <v>23</v>
      </c>
      <c r="G311" s="2">
        <v>5206805.07</v>
      </c>
      <c r="H311" s="2">
        <v>6929767.71</v>
      </c>
      <c r="I311" s="2">
        <v>16304744.83</v>
      </c>
      <c r="J311" s="2">
        <v>1819017.66</v>
      </c>
      <c r="K311" s="2">
        <v>3686621.74</v>
      </c>
      <c r="L311">
        <v>6.8</v>
      </c>
      <c r="M311">
        <v>49</v>
      </c>
      <c r="N311">
        <v>6809</v>
      </c>
      <c r="O311">
        <v>600</v>
      </c>
      <c r="P311" t="s">
        <v>61</v>
      </c>
      <c r="Q311" t="s">
        <v>244</v>
      </c>
      <c r="R311" s="2">
        <f>Table1[[#This Row],[Global_BoxOfficeUSD]]-Table1[[#This Row],[BudgetUSD]]</f>
        <v>11097939.76</v>
      </c>
      <c r="S311" s="15">
        <f>Table1[[#This Row],[Profit]]/Table1[[#This Row],[BudgetUSD]]</f>
        <v>2.1314298520493682</v>
      </c>
      <c r="T311" t="str">
        <f>IF(Table1[[#This Row],[ROI]]&gt;100%,"Hit","Flop")</f>
        <v>Hit</v>
      </c>
    </row>
    <row r="312" spans="1:20" x14ac:dyDescent="0.3">
      <c r="A312">
        <v>958</v>
      </c>
      <c r="B312" t="s">
        <v>1367</v>
      </c>
      <c r="C312" t="s">
        <v>38</v>
      </c>
      <c r="D312">
        <v>1967</v>
      </c>
      <c r="E312" s="1">
        <v>24514</v>
      </c>
      <c r="F312" t="s">
        <v>23</v>
      </c>
      <c r="G312" s="2">
        <v>5821664.6699999999</v>
      </c>
      <c r="H312" s="2">
        <v>11271901.34</v>
      </c>
      <c r="I312" s="2">
        <v>16300809.800000001</v>
      </c>
      <c r="J312" s="2">
        <v>1205122.93</v>
      </c>
      <c r="K312" s="2">
        <v>5163302.1100000003</v>
      </c>
      <c r="L312">
        <v>6.4</v>
      </c>
      <c r="M312">
        <v>61</v>
      </c>
      <c r="N312">
        <v>515</v>
      </c>
      <c r="O312">
        <v>124</v>
      </c>
      <c r="P312" t="s">
        <v>42</v>
      </c>
      <c r="Q312" t="s">
        <v>843</v>
      </c>
      <c r="R312" s="2">
        <f>Table1[[#This Row],[Global_BoxOfficeUSD]]-Table1[[#This Row],[BudgetUSD]]</f>
        <v>10479145.130000001</v>
      </c>
      <c r="S312" s="15">
        <f>Table1[[#This Row],[Profit]]/Table1[[#This Row],[BudgetUSD]]</f>
        <v>1.8000255466448913</v>
      </c>
      <c r="T312" t="str">
        <f>IF(Table1[[#This Row],[ROI]]&gt;100%,"Hit","Flop")</f>
        <v>Hit</v>
      </c>
    </row>
    <row r="313" spans="1:20" x14ac:dyDescent="0.3">
      <c r="A313">
        <v>271</v>
      </c>
      <c r="B313" t="s">
        <v>598</v>
      </c>
      <c r="C313" t="s">
        <v>38</v>
      </c>
      <c r="D313">
        <v>2019</v>
      </c>
      <c r="E313" s="1">
        <v>43531</v>
      </c>
      <c r="F313" t="s">
        <v>23</v>
      </c>
      <c r="G313" s="2">
        <v>6599387.3799999999</v>
      </c>
      <c r="H313" s="2">
        <v>10890529.01</v>
      </c>
      <c r="I313" s="2">
        <v>16119933.73</v>
      </c>
      <c r="J313" s="2">
        <v>3185042.32</v>
      </c>
      <c r="K313" s="2">
        <v>5198524.0999999996</v>
      </c>
      <c r="L313">
        <v>4</v>
      </c>
      <c r="M313">
        <v>34</v>
      </c>
      <c r="N313">
        <v>752</v>
      </c>
      <c r="O313">
        <v>636</v>
      </c>
      <c r="P313" t="s">
        <v>599</v>
      </c>
      <c r="Q313" t="s">
        <v>124</v>
      </c>
      <c r="R313" s="2">
        <f>Table1[[#This Row],[Global_BoxOfficeUSD]]-Table1[[#This Row],[BudgetUSD]]</f>
        <v>9520546.3500000015</v>
      </c>
      <c r="S313" s="15">
        <f>Table1[[#This Row],[Profit]]/Table1[[#This Row],[BudgetUSD]]</f>
        <v>1.4426409304070891</v>
      </c>
      <c r="T313" t="str">
        <f>IF(Table1[[#This Row],[ROI]]&gt;100%,"Hit","Flop")</f>
        <v>Hit</v>
      </c>
    </row>
    <row r="314" spans="1:20" x14ac:dyDescent="0.3">
      <c r="A314">
        <v>24</v>
      </c>
      <c r="B314" t="s">
        <v>94</v>
      </c>
      <c r="C314" t="s">
        <v>18</v>
      </c>
      <c r="D314">
        <v>2014</v>
      </c>
      <c r="E314" s="1">
        <v>41709</v>
      </c>
      <c r="F314" t="s">
        <v>34</v>
      </c>
      <c r="G314" s="2">
        <v>16106357.210000001</v>
      </c>
      <c r="H314" s="2">
        <v>10826254.710000001</v>
      </c>
      <c r="I314" s="2">
        <v>16106357.210000001</v>
      </c>
      <c r="J314" s="2">
        <v>3194948.01</v>
      </c>
      <c r="K314" s="2">
        <v>6016765.1799999997</v>
      </c>
      <c r="L314">
        <v>6.7</v>
      </c>
      <c r="M314">
        <v>82</v>
      </c>
      <c r="N314">
        <v>7987</v>
      </c>
      <c r="O314">
        <v>296</v>
      </c>
      <c r="P314" t="s">
        <v>95</v>
      </c>
      <c r="Q314" t="s">
        <v>96</v>
      </c>
      <c r="R314" s="2">
        <f>Table1[[#This Row],[Global_BoxOfficeUSD]]-Table1[[#This Row],[BudgetUSD]]</f>
        <v>0</v>
      </c>
      <c r="S314" s="15">
        <f>Table1[[#This Row],[Profit]]/Table1[[#This Row],[BudgetUSD]]</f>
        <v>0</v>
      </c>
      <c r="T314" t="str">
        <f>IF(Table1[[#This Row],[ROI]]&gt;100%,"Hit","Flop")</f>
        <v>Flop</v>
      </c>
    </row>
    <row r="315" spans="1:20" x14ac:dyDescent="0.3">
      <c r="A315">
        <v>621</v>
      </c>
      <c r="B315" t="s">
        <v>1039</v>
      </c>
      <c r="C315" t="s">
        <v>67</v>
      </c>
      <c r="D315">
        <v>1971</v>
      </c>
      <c r="E315" s="1">
        <v>26115</v>
      </c>
      <c r="F315" t="s">
        <v>23</v>
      </c>
      <c r="G315" s="2">
        <v>5021294.95</v>
      </c>
      <c r="H315" s="2">
        <v>10601231.710000001</v>
      </c>
      <c r="I315" s="2">
        <v>16080039.609999999</v>
      </c>
      <c r="J315" s="2">
        <v>2212889.89</v>
      </c>
      <c r="K315" s="2">
        <v>5289678.63</v>
      </c>
      <c r="L315">
        <v>10</v>
      </c>
      <c r="M315">
        <v>100</v>
      </c>
      <c r="N315">
        <v>1993</v>
      </c>
      <c r="O315">
        <v>698</v>
      </c>
      <c r="P315" t="s">
        <v>337</v>
      </c>
      <c r="Q315" t="s">
        <v>75</v>
      </c>
      <c r="R315" s="2">
        <f>Table1[[#This Row],[Global_BoxOfficeUSD]]-Table1[[#This Row],[BudgetUSD]]</f>
        <v>11058744.66</v>
      </c>
      <c r="S315" s="15">
        <f>Table1[[#This Row],[Profit]]/Table1[[#This Row],[BudgetUSD]]</f>
        <v>2.2023690641793507</v>
      </c>
      <c r="T315" t="str">
        <f>IF(Table1[[#This Row],[ROI]]&gt;100%,"Hit","Flop")</f>
        <v>Hit</v>
      </c>
    </row>
    <row r="316" spans="1:20" x14ac:dyDescent="0.3">
      <c r="A316">
        <v>100</v>
      </c>
      <c r="B316" t="s">
        <v>286</v>
      </c>
      <c r="C316" t="s">
        <v>18</v>
      </c>
      <c r="D316">
        <v>2001</v>
      </c>
      <c r="E316" s="1">
        <v>37154</v>
      </c>
      <c r="F316" t="s">
        <v>23</v>
      </c>
      <c r="G316" s="2">
        <v>16079957.210000001</v>
      </c>
      <c r="H316" s="2">
        <v>7587586.5300000003</v>
      </c>
      <c r="I316" s="2">
        <v>16079957.210000001</v>
      </c>
      <c r="J316" s="2">
        <v>1983293.64</v>
      </c>
      <c r="K316" s="2">
        <v>3123046.37</v>
      </c>
      <c r="L316">
        <v>6.9</v>
      </c>
      <c r="M316">
        <v>63</v>
      </c>
      <c r="N316">
        <v>128347</v>
      </c>
      <c r="O316">
        <v>121</v>
      </c>
      <c r="P316" t="s">
        <v>287</v>
      </c>
      <c r="Q316" t="s">
        <v>288</v>
      </c>
      <c r="R316" s="2">
        <f>Table1[[#This Row],[Global_BoxOfficeUSD]]-Table1[[#This Row],[BudgetUSD]]</f>
        <v>0</v>
      </c>
      <c r="S316" s="15">
        <f>Table1[[#This Row],[Profit]]/Table1[[#This Row],[BudgetUSD]]</f>
        <v>0</v>
      </c>
      <c r="T316" t="str">
        <f>IF(Table1[[#This Row],[ROI]]&gt;100%,"Hit","Flop")</f>
        <v>Flop</v>
      </c>
    </row>
    <row r="317" spans="1:20" x14ac:dyDescent="0.3">
      <c r="A317">
        <v>663</v>
      </c>
      <c r="B317" t="s">
        <v>1084</v>
      </c>
      <c r="C317" t="s">
        <v>18</v>
      </c>
      <c r="D317">
        <v>1961</v>
      </c>
      <c r="E317" s="1">
        <v>22614</v>
      </c>
      <c r="F317" t="s">
        <v>23</v>
      </c>
      <c r="G317" s="2">
        <v>3981790.15</v>
      </c>
      <c r="H317" s="2">
        <v>10957696.699999999</v>
      </c>
      <c r="I317" s="2">
        <v>16032805.199999999</v>
      </c>
      <c r="J317" s="2">
        <v>3279120.36</v>
      </c>
      <c r="K317" s="2">
        <v>6089766.3600000003</v>
      </c>
      <c r="L317">
        <v>6.2</v>
      </c>
      <c r="M317">
        <v>67</v>
      </c>
      <c r="N317">
        <v>28765</v>
      </c>
      <c r="O317">
        <v>250</v>
      </c>
      <c r="P317" t="s">
        <v>187</v>
      </c>
      <c r="Q317" t="s">
        <v>607</v>
      </c>
      <c r="R317" s="2">
        <f>Table1[[#This Row],[Global_BoxOfficeUSD]]-Table1[[#This Row],[BudgetUSD]]</f>
        <v>12051015.049999999</v>
      </c>
      <c r="S317" s="15">
        <f>Table1[[#This Row],[Profit]]/Table1[[#This Row],[BudgetUSD]]</f>
        <v>3.0265319356420628</v>
      </c>
      <c r="T317" t="str">
        <f>IF(Table1[[#This Row],[ROI]]&gt;100%,"Hit","Flop")</f>
        <v>Hit</v>
      </c>
    </row>
    <row r="318" spans="1:20" x14ac:dyDescent="0.3">
      <c r="A318">
        <v>616</v>
      </c>
      <c r="B318" t="s">
        <v>1035</v>
      </c>
      <c r="C318" t="s">
        <v>67</v>
      </c>
      <c r="D318">
        <v>2009</v>
      </c>
      <c r="E318" s="1">
        <v>39858</v>
      </c>
      <c r="F318" t="s">
        <v>23</v>
      </c>
      <c r="G318" s="2">
        <v>3626526.99</v>
      </c>
      <c r="H318" s="2">
        <v>7436596.1699999999</v>
      </c>
      <c r="I318" s="2">
        <v>15999856.720000001</v>
      </c>
      <c r="J318" s="2">
        <v>1324263.2</v>
      </c>
      <c r="K318" s="2">
        <v>3490186.92</v>
      </c>
      <c r="L318">
        <v>4.3</v>
      </c>
      <c r="M318">
        <v>45</v>
      </c>
      <c r="N318">
        <v>1102</v>
      </c>
      <c r="O318">
        <v>98</v>
      </c>
      <c r="P318" t="s">
        <v>146</v>
      </c>
      <c r="Q318" t="s">
        <v>495</v>
      </c>
      <c r="R318" s="2">
        <f>Table1[[#This Row],[Global_BoxOfficeUSD]]-Table1[[#This Row],[BudgetUSD]]</f>
        <v>12373329.73</v>
      </c>
      <c r="S318" s="15">
        <f>Table1[[#This Row],[Profit]]/Table1[[#This Row],[BudgetUSD]]</f>
        <v>3.4118951173171883</v>
      </c>
      <c r="T318" t="str">
        <f>IF(Table1[[#This Row],[ROI]]&gt;100%,"Hit","Flop")</f>
        <v>Hit</v>
      </c>
    </row>
    <row r="319" spans="1:20" x14ac:dyDescent="0.3">
      <c r="A319">
        <v>853</v>
      </c>
      <c r="B319" t="s">
        <v>1270</v>
      </c>
      <c r="C319" t="s">
        <v>86</v>
      </c>
      <c r="D319">
        <v>2020</v>
      </c>
      <c r="E319" s="1">
        <v>44053</v>
      </c>
      <c r="F319" t="s">
        <v>23</v>
      </c>
      <c r="G319" s="2">
        <v>4945853.76</v>
      </c>
      <c r="H319" s="2">
        <v>8447452.4000000004</v>
      </c>
      <c r="I319" s="2">
        <v>15934098.630000001</v>
      </c>
      <c r="J319" s="2">
        <v>1979268.24</v>
      </c>
      <c r="K319" s="2">
        <v>4562201.16</v>
      </c>
      <c r="L319">
        <v>6.8</v>
      </c>
      <c r="M319">
        <v>75</v>
      </c>
      <c r="N319">
        <v>442</v>
      </c>
      <c r="O319">
        <v>50</v>
      </c>
      <c r="P319" t="s">
        <v>302</v>
      </c>
      <c r="Q319" t="s">
        <v>244</v>
      </c>
      <c r="R319" s="2">
        <f>Table1[[#This Row],[Global_BoxOfficeUSD]]-Table1[[#This Row],[BudgetUSD]]</f>
        <v>10988244.870000001</v>
      </c>
      <c r="S319" s="15">
        <f>Table1[[#This Row],[Profit]]/Table1[[#This Row],[BudgetUSD]]</f>
        <v>2.2217084053047298</v>
      </c>
      <c r="T319" t="str">
        <f>IF(Table1[[#This Row],[ROI]]&gt;100%,"Hit","Flop")</f>
        <v>Hit</v>
      </c>
    </row>
    <row r="320" spans="1:20" x14ac:dyDescent="0.3">
      <c r="A320">
        <v>240</v>
      </c>
      <c r="B320" t="s">
        <v>554</v>
      </c>
      <c r="C320" t="s">
        <v>67</v>
      </c>
      <c r="D320">
        <v>1963</v>
      </c>
      <c r="E320" s="1">
        <v>23284</v>
      </c>
      <c r="F320" t="s">
        <v>23</v>
      </c>
      <c r="G320" s="2">
        <v>3231592.86</v>
      </c>
      <c r="H320" s="2">
        <v>8997130.3699999992</v>
      </c>
      <c r="I320" s="2">
        <v>15931065.48</v>
      </c>
      <c r="J320" s="2">
        <v>1407217.32</v>
      </c>
      <c r="K320" s="2">
        <v>4005337.63</v>
      </c>
      <c r="L320">
        <v>5.7</v>
      </c>
      <c r="M320">
        <v>55</v>
      </c>
      <c r="N320">
        <v>7778</v>
      </c>
      <c r="O320">
        <v>968</v>
      </c>
      <c r="P320" t="s">
        <v>140</v>
      </c>
      <c r="Q320" t="s">
        <v>482</v>
      </c>
      <c r="R320" s="2">
        <f>Table1[[#This Row],[Global_BoxOfficeUSD]]-Table1[[#This Row],[BudgetUSD]]</f>
        <v>12699472.620000001</v>
      </c>
      <c r="S320" s="15">
        <f>Table1[[#This Row],[Profit]]/Table1[[#This Row],[BudgetUSD]]</f>
        <v>3.9297873123782066</v>
      </c>
      <c r="T320" t="str">
        <f>IF(Table1[[#This Row],[ROI]]&gt;100%,"Hit","Flop")</f>
        <v>Hit</v>
      </c>
    </row>
    <row r="321" spans="1:20" x14ac:dyDescent="0.3">
      <c r="A321">
        <v>604</v>
      </c>
      <c r="B321" t="s">
        <v>1023</v>
      </c>
      <c r="C321" t="s">
        <v>77</v>
      </c>
      <c r="D321">
        <v>2000</v>
      </c>
      <c r="E321" s="1">
        <v>36711</v>
      </c>
      <c r="F321" t="s">
        <v>23</v>
      </c>
      <c r="G321" s="2">
        <v>15842631.869999999</v>
      </c>
      <c r="H321" s="2">
        <v>7124496.9000000004</v>
      </c>
      <c r="I321" s="2">
        <v>15842631.869999999</v>
      </c>
      <c r="J321" s="2">
        <v>997995.87</v>
      </c>
      <c r="K321" s="2">
        <v>3653655.45</v>
      </c>
      <c r="L321">
        <v>6.4</v>
      </c>
      <c r="M321">
        <v>73</v>
      </c>
      <c r="N321">
        <v>64025</v>
      </c>
      <c r="O321">
        <v>2624</v>
      </c>
      <c r="P321" t="s">
        <v>386</v>
      </c>
      <c r="Q321" t="s">
        <v>1024</v>
      </c>
      <c r="R321" s="2">
        <f>Table1[[#This Row],[Global_BoxOfficeUSD]]-Table1[[#This Row],[BudgetUSD]]</f>
        <v>0</v>
      </c>
      <c r="S321" s="15">
        <f>Table1[[#This Row],[Profit]]/Table1[[#This Row],[BudgetUSD]]</f>
        <v>0</v>
      </c>
      <c r="T321" t="str">
        <f>IF(Table1[[#This Row],[ROI]]&gt;100%,"Hit","Flop")</f>
        <v>Flop</v>
      </c>
    </row>
    <row r="322" spans="1:20" x14ac:dyDescent="0.3">
      <c r="A322">
        <v>626</v>
      </c>
      <c r="B322" t="s">
        <v>1043</v>
      </c>
      <c r="C322" t="s">
        <v>77</v>
      </c>
      <c r="D322">
        <v>2014</v>
      </c>
      <c r="E322" s="1">
        <v>41973</v>
      </c>
      <c r="F322" t="s">
        <v>23</v>
      </c>
      <c r="G322" s="2">
        <v>6688554.7999999998</v>
      </c>
      <c r="H322" s="2">
        <v>7120813.4699999997</v>
      </c>
      <c r="I322" s="2">
        <v>15793112.630000001</v>
      </c>
      <c r="J322" s="2">
        <v>785628.72</v>
      </c>
      <c r="K322" s="2">
        <v>3709511.96</v>
      </c>
      <c r="L322">
        <v>6</v>
      </c>
      <c r="M322">
        <v>61</v>
      </c>
      <c r="N322">
        <v>498</v>
      </c>
      <c r="O322">
        <v>9304</v>
      </c>
      <c r="P322" t="s">
        <v>530</v>
      </c>
      <c r="Q322" t="s">
        <v>882</v>
      </c>
      <c r="R322" s="2">
        <f>Table1[[#This Row],[Global_BoxOfficeUSD]]-Table1[[#This Row],[BudgetUSD]]</f>
        <v>9104557.8300000019</v>
      </c>
      <c r="S322" s="15">
        <f>Table1[[#This Row],[Profit]]/Table1[[#This Row],[BudgetUSD]]</f>
        <v>1.361214507803689</v>
      </c>
      <c r="T322" t="str">
        <f>IF(Table1[[#This Row],[ROI]]&gt;100%,"Hit","Flop")</f>
        <v>Hit</v>
      </c>
    </row>
    <row r="323" spans="1:20" x14ac:dyDescent="0.3">
      <c r="A323">
        <v>52</v>
      </c>
      <c r="B323" t="s">
        <v>173</v>
      </c>
      <c r="C323" t="s">
        <v>38</v>
      </c>
      <c r="D323">
        <v>1974</v>
      </c>
      <c r="E323" s="1">
        <v>27036</v>
      </c>
      <c r="F323" t="s">
        <v>34</v>
      </c>
      <c r="G323" s="2">
        <v>3866117.13</v>
      </c>
      <c r="H323" s="2">
        <v>9493477.1099999994</v>
      </c>
      <c r="I323" s="2">
        <v>15738161.74</v>
      </c>
      <c r="J323" s="2">
        <v>2385246.4900000002</v>
      </c>
      <c r="K323" s="2">
        <v>4862447.47</v>
      </c>
      <c r="L323">
        <v>3.7</v>
      </c>
      <c r="M323">
        <v>33</v>
      </c>
      <c r="N323">
        <v>1159</v>
      </c>
      <c r="O323">
        <v>759</v>
      </c>
      <c r="P323" t="s">
        <v>174</v>
      </c>
      <c r="Q323" t="s">
        <v>175</v>
      </c>
      <c r="R323" s="2">
        <f>Table1[[#This Row],[Global_BoxOfficeUSD]]-Table1[[#This Row],[BudgetUSD]]</f>
        <v>11872044.609999999</v>
      </c>
      <c r="S323" s="15">
        <f>Table1[[#This Row],[Profit]]/Table1[[#This Row],[BudgetUSD]]</f>
        <v>3.0707927904915802</v>
      </c>
      <c r="T323" t="str">
        <f>IF(Table1[[#This Row],[ROI]]&gt;100%,"Hit","Flop")</f>
        <v>Hit</v>
      </c>
    </row>
    <row r="324" spans="1:20" x14ac:dyDescent="0.3">
      <c r="A324">
        <v>819</v>
      </c>
      <c r="B324" t="s">
        <v>999</v>
      </c>
      <c r="C324" t="s">
        <v>77</v>
      </c>
      <c r="D324">
        <v>2010</v>
      </c>
      <c r="E324" s="1">
        <v>40542</v>
      </c>
      <c r="F324" t="s">
        <v>139</v>
      </c>
      <c r="G324" s="2">
        <v>3377926</v>
      </c>
      <c r="H324" s="2">
        <v>9448732.1099999994</v>
      </c>
      <c r="I324" s="2">
        <v>15668570.83</v>
      </c>
      <c r="J324" s="2">
        <v>2783635.2</v>
      </c>
      <c r="K324" s="2">
        <v>3815477.38</v>
      </c>
      <c r="L324">
        <v>7.9</v>
      </c>
      <c r="M324">
        <v>72</v>
      </c>
      <c r="N324">
        <v>1612</v>
      </c>
      <c r="O324">
        <v>2630</v>
      </c>
      <c r="P324" t="s">
        <v>380</v>
      </c>
      <c r="Q324" t="s">
        <v>327</v>
      </c>
      <c r="R324" s="2">
        <f>Table1[[#This Row],[Global_BoxOfficeUSD]]-Table1[[#This Row],[BudgetUSD]]</f>
        <v>12290644.83</v>
      </c>
      <c r="S324" s="15">
        <f>Table1[[#This Row],[Profit]]/Table1[[#This Row],[BudgetUSD]]</f>
        <v>3.6385180818052261</v>
      </c>
      <c r="T324" t="str">
        <f>IF(Table1[[#This Row],[ROI]]&gt;100%,"Hit","Flop")</f>
        <v>Hit</v>
      </c>
    </row>
    <row r="325" spans="1:20" x14ac:dyDescent="0.3">
      <c r="A325">
        <v>805</v>
      </c>
      <c r="B325" t="s">
        <v>1225</v>
      </c>
      <c r="C325" t="s">
        <v>38</v>
      </c>
      <c r="D325">
        <v>1970</v>
      </c>
      <c r="E325" s="1">
        <v>25624</v>
      </c>
      <c r="F325" t="s">
        <v>139</v>
      </c>
      <c r="G325" s="2">
        <v>3648955.31</v>
      </c>
      <c r="H325" s="2">
        <v>7668874.5999999996</v>
      </c>
      <c r="I325" s="2">
        <v>15658875.91</v>
      </c>
      <c r="J325" s="2">
        <v>1575019.12</v>
      </c>
      <c r="K325" s="2">
        <v>4527609.1900000004</v>
      </c>
      <c r="L325">
        <v>6.5</v>
      </c>
      <c r="M325">
        <v>58</v>
      </c>
      <c r="N325">
        <v>6585</v>
      </c>
      <c r="O325">
        <v>50</v>
      </c>
      <c r="P325" t="s">
        <v>490</v>
      </c>
      <c r="Q325" t="s">
        <v>185</v>
      </c>
      <c r="R325" s="2">
        <f>Table1[[#This Row],[Global_BoxOfficeUSD]]-Table1[[#This Row],[BudgetUSD]]</f>
        <v>12009920.6</v>
      </c>
      <c r="S325" s="15">
        <f>Table1[[#This Row],[Profit]]/Table1[[#This Row],[BudgetUSD]]</f>
        <v>3.2913312385840099</v>
      </c>
      <c r="T325" t="str">
        <f>IF(Table1[[#This Row],[ROI]]&gt;100%,"Hit","Flop")</f>
        <v>Hit</v>
      </c>
    </row>
    <row r="326" spans="1:20" x14ac:dyDescent="0.3">
      <c r="A326">
        <v>157</v>
      </c>
      <c r="B326" t="s">
        <v>405</v>
      </c>
      <c r="C326" t="s">
        <v>77</v>
      </c>
      <c r="D326">
        <v>1980</v>
      </c>
      <c r="E326" s="1">
        <v>29303</v>
      </c>
      <c r="F326" t="s">
        <v>267</v>
      </c>
      <c r="G326" s="2">
        <v>9076834.3100000005</v>
      </c>
      <c r="H326" s="2">
        <v>9556883.9299999997</v>
      </c>
      <c r="I326" s="2">
        <v>15537539.720000001</v>
      </c>
      <c r="J326" s="2">
        <v>1920322.6</v>
      </c>
      <c r="K326" s="2">
        <v>4147829.1</v>
      </c>
      <c r="L326">
        <v>7.1</v>
      </c>
      <c r="M326">
        <v>54</v>
      </c>
      <c r="N326">
        <v>7637</v>
      </c>
      <c r="O326">
        <v>201</v>
      </c>
      <c r="P326" t="s">
        <v>401</v>
      </c>
      <c r="Q326" t="s">
        <v>406</v>
      </c>
      <c r="R326" s="2">
        <f>Table1[[#This Row],[Global_BoxOfficeUSD]]-Table1[[#This Row],[BudgetUSD]]</f>
        <v>6460705.4100000001</v>
      </c>
      <c r="S326" s="15">
        <f>Table1[[#This Row],[Profit]]/Table1[[#This Row],[BudgetUSD]]</f>
        <v>0.71177959069740915</v>
      </c>
      <c r="T326" t="str">
        <f>IF(Table1[[#This Row],[ROI]]&gt;100%,"Hit","Flop")</f>
        <v>Flop</v>
      </c>
    </row>
    <row r="327" spans="1:20" x14ac:dyDescent="0.3">
      <c r="A327">
        <v>1</v>
      </c>
      <c r="B327" t="s">
        <v>17</v>
      </c>
      <c r="C327" t="s">
        <v>18</v>
      </c>
      <c r="D327">
        <v>2003</v>
      </c>
      <c r="E327" s="1">
        <v>37892</v>
      </c>
      <c r="F327" t="s">
        <v>19</v>
      </c>
      <c r="G327" s="2">
        <v>6577427.79</v>
      </c>
      <c r="H327" s="2">
        <v>6613685.8200000003</v>
      </c>
      <c r="I327" s="2">
        <v>15472035.66</v>
      </c>
      <c r="J327" s="2">
        <v>1778530.85</v>
      </c>
      <c r="K327" s="2">
        <v>3034053.32</v>
      </c>
      <c r="L327">
        <v>6.2</v>
      </c>
      <c r="M327">
        <v>58</v>
      </c>
      <c r="N327">
        <v>7865</v>
      </c>
      <c r="O327">
        <v>10596</v>
      </c>
      <c r="P327" t="s">
        <v>20</v>
      </c>
      <c r="Q327" t="s">
        <v>21</v>
      </c>
      <c r="R327" s="2">
        <f>Table1[[#This Row],[Global_BoxOfficeUSD]]-Table1[[#This Row],[BudgetUSD]]</f>
        <v>8894607.870000001</v>
      </c>
      <c r="S327" s="15">
        <f>Table1[[#This Row],[Profit]]/Table1[[#This Row],[BudgetUSD]]</f>
        <v>1.3522927433004932</v>
      </c>
      <c r="T327" t="str">
        <f>IF(Table1[[#This Row],[ROI]]&gt;100%,"Hit","Flop")</f>
        <v>Hit</v>
      </c>
    </row>
    <row r="328" spans="1:20" x14ac:dyDescent="0.3">
      <c r="A328">
        <v>123</v>
      </c>
      <c r="B328" t="s">
        <v>339</v>
      </c>
      <c r="C328" t="s">
        <v>18</v>
      </c>
      <c r="D328">
        <v>2019</v>
      </c>
      <c r="E328" s="1">
        <v>43623</v>
      </c>
      <c r="F328" t="s">
        <v>19</v>
      </c>
      <c r="G328" s="2">
        <v>6676011.0199999996</v>
      </c>
      <c r="H328" s="2">
        <v>8278990.7599999998</v>
      </c>
      <c r="I328" s="2">
        <v>15339808.35</v>
      </c>
      <c r="J328" s="2">
        <v>1023916.91</v>
      </c>
      <c r="K328" s="2">
        <v>4446254.3499999996</v>
      </c>
      <c r="L328">
        <v>6.6</v>
      </c>
      <c r="M328">
        <v>69</v>
      </c>
      <c r="N328">
        <v>2714</v>
      </c>
      <c r="O328">
        <v>308</v>
      </c>
      <c r="P328" t="s">
        <v>61</v>
      </c>
      <c r="Q328" t="s">
        <v>340</v>
      </c>
      <c r="R328" s="2">
        <f>Table1[[#This Row],[Global_BoxOfficeUSD]]-Table1[[#This Row],[BudgetUSD]]</f>
        <v>8663797.3300000001</v>
      </c>
      <c r="S328" s="15">
        <f>Table1[[#This Row],[Profit]]/Table1[[#This Row],[BudgetUSD]]</f>
        <v>1.2977506034733899</v>
      </c>
      <c r="T328" t="str">
        <f>IF(Table1[[#This Row],[ROI]]&gt;100%,"Hit","Flop")</f>
        <v>Hit</v>
      </c>
    </row>
    <row r="329" spans="1:20" x14ac:dyDescent="0.3">
      <c r="A329">
        <v>979</v>
      </c>
      <c r="B329" t="s">
        <v>1389</v>
      </c>
      <c r="C329" t="s">
        <v>107</v>
      </c>
      <c r="D329">
        <v>2017</v>
      </c>
      <c r="E329" s="1">
        <v>42943</v>
      </c>
      <c r="F329" t="s">
        <v>19</v>
      </c>
      <c r="G329" s="2">
        <v>10630501.359999999</v>
      </c>
      <c r="H329" s="2">
        <v>10145382.02</v>
      </c>
      <c r="I329" s="2">
        <v>15328432.27</v>
      </c>
      <c r="J329" s="2">
        <v>2377675.46</v>
      </c>
      <c r="K329" s="2">
        <v>4763621.55</v>
      </c>
      <c r="L329">
        <v>7.7</v>
      </c>
      <c r="M329">
        <v>64</v>
      </c>
      <c r="N329">
        <v>18107</v>
      </c>
      <c r="O329">
        <v>301</v>
      </c>
      <c r="P329" t="s">
        <v>829</v>
      </c>
      <c r="Q329" t="s">
        <v>1390</v>
      </c>
      <c r="R329" s="2">
        <f>Table1[[#This Row],[Global_BoxOfficeUSD]]-Table1[[#This Row],[BudgetUSD]]</f>
        <v>4697930.91</v>
      </c>
      <c r="S329" s="15">
        <f>Table1[[#This Row],[Profit]]/Table1[[#This Row],[BudgetUSD]]</f>
        <v>0.44192938328169318</v>
      </c>
      <c r="T329" t="str">
        <f>IF(Table1[[#This Row],[ROI]]&gt;100%,"Hit","Flop")</f>
        <v>Flop</v>
      </c>
    </row>
    <row r="330" spans="1:20" x14ac:dyDescent="0.3">
      <c r="A330">
        <v>636</v>
      </c>
      <c r="B330" t="s">
        <v>1054</v>
      </c>
      <c r="C330" t="s">
        <v>38</v>
      </c>
      <c r="D330">
        <v>1969</v>
      </c>
      <c r="E330" s="1">
        <v>25446</v>
      </c>
      <c r="F330" t="s">
        <v>23</v>
      </c>
      <c r="G330" s="2">
        <v>3751881.97</v>
      </c>
      <c r="H330" s="2">
        <v>10030150.619999999</v>
      </c>
      <c r="I330" s="2">
        <v>15254117.289999999</v>
      </c>
      <c r="J330" s="2">
        <v>1505529.1</v>
      </c>
      <c r="K330" s="2">
        <v>4787198.8099999996</v>
      </c>
      <c r="L330">
        <v>7.7</v>
      </c>
      <c r="M330">
        <v>88</v>
      </c>
      <c r="N330">
        <v>16617</v>
      </c>
      <c r="O330">
        <v>222</v>
      </c>
      <c r="P330" t="s">
        <v>494</v>
      </c>
      <c r="Q330" t="s">
        <v>431</v>
      </c>
      <c r="R330" s="2">
        <f>Table1[[#This Row],[Global_BoxOfficeUSD]]-Table1[[#This Row],[BudgetUSD]]</f>
        <v>11502235.319999998</v>
      </c>
      <c r="S330" s="15">
        <f>Table1[[#This Row],[Profit]]/Table1[[#This Row],[BudgetUSD]]</f>
        <v>3.0657241917447626</v>
      </c>
      <c r="T330" t="str">
        <f>IF(Table1[[#This Row],[ROI]]&gt;100%,"Hit","Flop")</f>
        <v>Hit</v>
      </c>
    </row>
    <row r="331" spans="1:20" x14ac:dyDescent="0.3">
      <c r="A331">
        <v>781</v>
      </c>
      <c r="B331" t="s">
        <v>1202</v>
      </c>
      <c r="C331" t="s">
        <v>77</v>
      </c>
      <c r="D331">
        <v>2017</v>
      </c>
      <c r="E331" s="1">
        <v>43000</v>
      </c>
      <c r="F331" t="s">
        <v>23</v>
      </c>
      <c r="G331" s="2">
        <v>15212687.84</v>
      </c>
      <c r="H331" s="2">
        <v>6758457.0199999996</v>
      </c>
      <c r="I331" s="2">
        <v>15212687.84</v>
      </c>
      <c r="J331" s="2">
        <v>1008772.72</v>
      </c>
      <c r="K331" s="2">
        <v>4005043.87</v>
      </c>
      <c r="L331">
        <v>7.8</v>
      </c>
      <c r="M331">
        <v>89</v>
      </c>
      <c r="N331">
        <v>516</v>
      </c>
      <c r="O331">
        <v>1508</v>
      </c>
      <c r="P331" t="s">
        <v>666</v>
      </c>
      <c r="Q331" t="s">
        <v>778</v>
      </c>
      <c r="R331" s="2">
        <f>Table1[[#This Row],[Global_BoxOfficeUSD]]-Table1[[#This Row],[BudgetUSD]]</f>
        <v>0</v>
      </c>
      <c r="S331" s="15">
        <f>Table1[[#This Row],[Profit]]/Table1[[#This Row],[BudgetUSD]]</f>
        <v>0</v>
      </c>
      <c r="T331" t="str">
        <f>IF(Table1[[#This Row],[ROI]]&gt;100%,"Hit","Flop")</f>
        <v>Flop</v>
      </c>
    </row>
    <row r="332" spans="1:20" x14ac:dyDescent="0.3">
      <c r="A332">
        <v>802</v>
      </c>
      <c r="B332" t="s">
        <v>1222</v>
      </c>
      <c r="C332" t="s">
        <v>67</v>
      </c>
      <c r="D332">
        <v>1998</v>
      </c>
      <c r="E332" s="1">
        <v>35816</v>
      </c>
      <c r="F332" t="s">
        <v>318</v>
      </c>
      <c r="G332" s="2">
        <v>3262078.07</v>
      </c>
      <c r="H332" s="2">
        <v>6087310.2599999998</v>
      </c>
      <c r="I332" s="2">
        <v>15185109.6</v>
      </c>
      <c r="J332" s="2">
        <v>1731411.93</v>
      </c>
      <c r="K332" s="2">
        <v>2540549.4300000002</v>
      </c>
      <c r="L332">
        <v>6.7</v>
      </c>
      <c r="M332">
        <v>70</v>
      </c>
      <c r="N332">
        <v>237</v>
      </c>
      <c r="O332">
        <v>343</v>
      </c>
      <c r="P332" t="s">
        <v>292</v>
      </c>
      <c r="Q332" t="s">
        <v>391</v>
      </c>
      <c r="R332" s="2">
        <f>Table1[[#This Row],[Global_BoxOfficeUSD]]-Table1[[#This Row],[BudgetUSD]]</f>
        <v>11923031.529999999</v>
      </c>
      <c r="S332" s="15">
        <f>Table1[[#This Row],[Profit]]/Table1[[#This Row],[BudgetUSD]]</f>
        <v>3.6550417476673083</v>
      </c>
      <c r="T332" t="str">
        <f>IF(Table1[[#This Row],[ROI]]&gt;100%,"Hit","Flop")</f>
        <v>Hit</v>
      </c>
    </row>
    <row r="333" spans="1:20" x14ac:dyDescent="0.3">
      <c r="A333">
        <v>754</v>
      </c>
      <c r="B333" t="s">
        <v>1174</v>
      </c>
      <c r="C333" t="s">
        <v>38</v>
      </c>
      <c r="D333">
        <v>1969</v>
      </c>
      <c r="E333" s="1">
        <v>25371</v>
      </c>
      <c r="F333" t="s">
        <v>23</v>
      </c>
      <c r="G333" s="2">
        <v>7790916.8700000001</v>
      </c>
      <c r="H333" s="2">
        <v>7178700.0599999996</v>
      </c>
      <c r="I333" s="2">
        <v>14971338.189999999</v>
      </c>
      <c r="J333" s="2">
        <v>2006189.81</v>
      </c>
      <c r="K333" s="2">
        <v>4215793.03</v>
      </c>
      <c r="L333">
        <v>5.6</v>
      </c>
      <c r="M333">
        <v>62</v>
      </c>
      <c r="N333">
        <v>896</v>
      </c>
      <c r="O333">
        <v>1284</v>
      </c>
      <c r="P333" t="s">
        <v>27</v>
      </c>
      <c r="Q333" t="s">
        <v>1175</v>
      </c>
      <c r="R333" s="2">
        <f>Table1[[#This Row],[Global_BoxOfficeUSD]]-Table1[[#This Row],[BudgetUSD]]</f>
        <v>7180421.3199999994</v>
      </c>
      <c r="S333" s="15">
        <f>Table1[[#This Row],[Profit]]/Table1[[#This Row],[BudgetUSD]]</f>
        <v>0.92164008932622576</v>
      </c>
      <c r="T333" t="str">
        <f>IF(Table1[[#This Row],[ROI]]&gt;100%,"Hit","Flop")</f>
        <v>Flop</v>
      </c>
    </row>
    <row r="334" spans="1:20" x14ac:dyDescent="0.3">
      <c r="A334">
        <v>279</v>
      </c>
      <c r="B334" t="s">
        <v>79</v>
      </c>
      <c r="C334" t="s">
        <v>107</v>
      </c>
      <c r="D334">
        <v>1997</v>
      </c>
      <c r="E334" s="1">
        <v>35647</v>
      </c>
      <c r="F334" t="s">
        <v>23</v>
      </c>
      <c r="G334" s="2">
        <v>3775985.92</v>
      </c>
      <c r="H334" s="2">
        <v>7240708.2999999998</v>
      </c>
      <c r="I334" s="2">
        <v>14646751.140000001</v>
      </c>
      <c r="J334" s="2">
        <v>900580.82</v>
      </c>
      <c r="K334" s="2">
        <v>3179526.75</v>
      </c>
      <c r="L334">
        <v>3.4</v>
      </c>
      <c r="M334">
        <v>32</v>
      </c>
      <c r="N334">
        <v>1945</v>
      </c>
      <c r="O334">
        <v>1012</v>
      </c>
      <c r="P334" t="s">
        <v>129</v>
      </c>
      <c r="Q334" t="s">
        <v>165</v>
      </c>
      <c r="R334" s="2">
        <f>Table1[[#This Row],[Global_BoxOfficeUSD]]-Table1[[#This Row],[BudgetUSD]]</f>
        <v>10870765.220000001</v>
      </c>
      <c r="S334" s="15">
        <f>Table1[[#This Row],[Profit]]/Table1[[#This Row],[BudgetUSD]]</f>
        <v>2.8789210156800586</v>
      </c>
      <c r="T334" t="str">
        <f>IF(Table1[[#This Row],[ROI]]&gt;100%,"Hit","Flop")</f>
        <v>Hit</v>
      </c>
    </row>
    <row r="335" spans="1:20" x14ac:dyDescent="0.3">
      <c r="A335">
        <v>340</v>
      </c>
      <c r="B335" t="s">
        <v>692</v>
      </c>
      <c r="C335" t="s">
        <v>86</v>
      </c>
      <c r="D335">
        <v>2025</v>
      </c>
      <c r="E335" s="1">
        <v>45893</v>
      </c>
      <c r="F335" t="s">
        <v>23</v>
      </c>
      <c r="G335" s="2">
        <v>4621726.05</v>
      </c>
      <c r="H335" s="2">
        <v>8764595.8200000003</v>
      </c>
      <c r="I335" s="2">
        <v>14596050.33</v>
      </c>
      <c r="J335" s="2">
        <v>1743455.2</v>
      </c>
      <c r="K335" s="2">
        <v>5070751.97</v>
      </c>
      <c r="L335">
        <v>4.5999999999999996</v>
      </c>
      <c r="M335">
        <v>39</v>
      </c>
      <c r="N335">
        <v>176</v>
      </c>
      <c r="O335">
        <v>76</v>
      </c>
      <c r="P335" t="s">
        <v>52</v>
      </c>
      <c r="Q335" t="s">
        <v>96</v>
      </c>
      <c r="R335" s="2">
        <f>Table1[[#This Row],[Global_BoxOfficeUSD]]-Table1[[#This Row],[BudgetUSD]]</f>
        <v>9974324.2800000012</v>
      </c>
      <c r="S335" s="15">
        <f>Table1[[#This Row],[Profit]]/Table1[[#This Row],[BudgetUSD]]</f>
        <v>2.1581383604508542</v>
      </c>
      <c r="T335" t="str">
        <f>IF(Table1[[#This Row],[ROI]]&gt;100%,"Hit","Flop")</f>
        <v>Hit</v>
      </c>
    </row>
    <row r="336" spans="1:20" x14ac:dyDescent="0.3">
      <c r="A336">
        <v>972</v>
      </c>
      <c r="B336" t="s">
        <v>1382</v>
      </c>
      <c r="C336" t="s">
        <v>38</v>
      </c>
      <c r="D336">
        <v>1999</v>
      </c>
      <c r="E336" s="1">
        <v>36169</v>
      </c>
      <c r="F336" t="s">
        <v>19</v>
      </c>
      <c r="G336" s="2">
        <v>14572817.439999999</v>
      </c>
      <c r="H336" s="2">
        <v>7131399.5800000001</v>
      </c>
      <c r="I336" s="2">
        <v>14572817.439999999</v>
      </c>
      <c r="J336" s="2">
        <v>1651983.42</v>
      </c>
      <c r="K336" s="2">
        <v>3235049.84</v>
      </c>
      <c r="L336">
        <v>3.8</v>
      </c>
      <c r="M336">
        <v>46</v>
      </c>
      <c r="N336">
        <v>1136</v>
      </c>
      <c r="O336">
        <v>2552</v>
      </c>
      <c r="P336" t="s">
        <v>782</v>
      </c>
      <c r="Q336" t="s">
        <v>364</v>
      </c>
      <c r="R336" s="2">
        <f>Table1[[#This Row],[Global_BoxOfficeUSD]]-Table1[[#This Row],[BudgetUSD]]</f>
        <v>0</v>
      </c>
      <c r="S336" s="15">
        <f>Table1[[#This Row],[Profit]]/Table1[[#This Row],[BudgetUSD]]</f>
        <v>0</v>
      </c>
      <c r="T336" t="str">
        <f>IF(Table1[[#This Row],[ROI]]&gt;100%,"Hit","Flop")</f>
        <v>Flop</v>
      </c>
    </row>
    <row r="337" spans="1:20" x14ac:dyDescent="0.3">
      <c r="A337">
        <v>379</v>
      </c>
      <c r="B337" t="s">
        <v>748</v>
      </c>
      <c r="C337" t="s">
        <v>38</v>
      </c>
      <c r="D337">
        <v>2022</v>
      </c>
      <c r="E337" s="1">
        <v>44720</v>
      </c>
      <c r="F337" t="s">
        <v>249</v>
      </c>
      <c r="G337" s="2">
        <v>6109814.8799999999</v>
      </c>
      <c r="H337" s="2">
        <v>6980980.4900000002</v>
      </c>
      <c r="I337" s="2">
        <v>14563261.050000001</v>
      </c>
      <c r="J337" s="2">
        <v>1514625.44</v>
      </c>
      <c r="K337" s="2">
        <v>3726947.5</v>
      </c>
      <c r="L337">
        <v>6.7</v>
      </c>
      <c r="M337">
        <v>78</v>
      </c>
      <c r="N337">
        <v>303</v>
      </c>
      <c r="O337">
        <v>50</v>
      </c>
      <c r="P337" t="s">
        <v>307</v>
      </c>
      <c r="Q337" t="s">
        <v>185</v>
      </c>
      <c r="R337" s="2">
        <f>Table1[[#This Row],[Global_BoxOfficeUSD]]-Table1[[#This Row],[BudgetUSD]]</f>
        <v>8453446.1700000018</v>
      </c>
      <c r="S337" s="15">
        <f>Table1[[#This Row],[Profit]]/Table1[[#This Row],[BudgetUSD]]</f>
        <v>1.3835846643523841</v>
      </c>
      <c r="T337" t="str">
        <f>IF(Table1[[#This Row],[ROI]]&gt;100%,"Hit","Flop")</f>
        <v>Hit</v>
      </c>
    </row>
    <row r="338" spans="1:20" x14ac:dyDescent="0.3">
      <c r="A338">
        <v>227</v>
      </c>
      <c r="B338" t="s">
        <v>536</v>
      </c>
      <c r="C338" t="s">
        <v>107</v>
      </c>
      <c r="D338">
        <v>2025</v>
      </c>
      <c r="E338" s="1">
        <v>45955</v>
      </c>
      <c r="F338" t="s">
        <v>34</v>
      </c>
      <c r="G338" s="2">
        <v>2951683.88</v>
      </c>
      <c r="H338" s="2">
        <v>7545393.8799999999</v>
      </c>
      <c r="I338" s="2">
        <v>14533250.52</v>
      </c>
      <c r="J338" s="2">
        <v>2225460.7000000002</v>
      </c>
      <c r="K338" s="2">
        <v>3952237.28</v>
      </c>
      <c r="L338">
        <v>3.7</v>
      </c>
      <c r="M338">
        <v>41</v>
      </c>
      <c r="N338">
        <v>11175</v>
      </c>
      <c r="O338">
        <v>1237</v>
      </c>
      <c r="P338" t="s">
        <v>126</v>
      </c>
      <c r="Q338" t="s">
        <v>537</v>
      </c>
      <c r="R338" s="2">
        <f>Table1[[#This Row],[Global_BoxOfficeUSD]]-Table1[[#This Row],[BudgetUSD]]</f>
        <v>11581566.640000001</v>
      </c>
      <c r="S338" s="15">
        <f>Table1[[#This Row],[Profit]]/Table1[[#This Row],[BudgetUSD]]</f>
        <v>3.9237151100340735</v>
      </c>
      <c r="T338" t="str">
        <f>IF(Table1[[#This Row],[ROI]]&gt;100%,"Hit","Flop")</f>
        <v>Hit</v>
      </c>
    </row>
    <row r="339" spans="1:20" x14ac:dyDescent="0.3">
      <c r="A339">
        <v>306</v>
      </c>
      <c r="B339" t="s">
        <v>651</v>
      </c>
      <c r="C339" t="s">
        <v>38</v>
      </c>
      <c r="D339">
        <v>1956</v>
      </c>
      <c r="E339" s="1">
        <v>20460</v>
      </c>
      <c r="F339" t="s">
        <v>267</v>
      </c>
      <c r="G339" s="2">
        <v>9208512.5199999996</v>
      </c>
      <c r="H339" s="2">
        <v>10018158.5</v>
      </c>
      <c r="I339" s="2">
        <v>14452127.449999999</v>
      </c>
      <c r="J339" s="2">
        <v>1575279.41</v>
      </c>
      <c r="K339" s="2">
        <v>4529615.97</v>
      </c>
      <c r="L339">
        <v>3.5</v>
      </c>
      <c r="M339">
        <v>36</v>
      </c>
      <c r="N339">
        <v>2171</v>
      </c>
      <c r="O339">
        <v>1300</v>
      </c>
      <c r="P339" t="s">
        <v>360</v>
      </c>
      <c r="Q339" t="s">
        <v>275</v>
      </c>
      <c r="R339" s="2">
        <f>Table1[[#This Row],[Global_BoxOfficeUSD]]-Table1[[#This Row],[BudgetUSD]]</f>
        <v>5243614.93</v>
      </c>
      <c r="S339" s="15">
        <f>Table1[[#This Row],[Profit]]/Table1[[#This Row],[BudgetUSD]]</f>
        <v>0.56943126467074623</v>
      </c>
      <c r="T339" t="str">
        <f>IF(Table1[[#This Row],[ROI]]&gt;100%,"Hit","Flop")</f>
        <v>Flop</v>
      </c>
    </row>
    <row r="340" spans="1:20" x14ac:dyDescent="0.3">
      <c r="A340">
        <v>187</v>
      </c>
      <c r="B340" t="s">
        <v>466</v>
      </c>
      <c r="C340" t="s">
        <v>45</v>
      </c>
      <c r="D340">
        <v>2011</v>
      </c>
      <c r="E340" s="1">
        <v>40831</v>
      </c>
      <c r="F340" t="s">
        <v>139</v>
      </c>
      <c r="G340" s="2">
        <v>14423997.49</v>
      </c>
      <c r="H340" s="2">
        <v>8954678.8399999999</v>
      </c>
      <c r="I340" s="2">
        <v>14423997.49</v>
      </c>
      <c r="J340" s="2">
        <v>2459109.84</v>
      </c>
      <c r="K340" s="2">
        <v>4315252.9000000004</v>
      </c>
      <c r="L340">
        <v>6.5</v>
      </c>
      <c r="M340">
        <v>79</v>
      </c>
      <c r="N340">
        <v>551</v>
      </c>
      <c r="O340">
        <v>287</v>
      </c>
      <c r="P340" t="s">
        <v>114</v>
      </c>
      <c r="Q340" t="s">
        <v>36</v>
      </c>
      <c r="R340" s="2">
        <f>Table1[[#This Row],[Global_BoxOfficeUSD]]-Table1[[#This Row],[BudgetUSD]]</f>
        <v>0</v>
      </c>
      <c r="S340" s="15">
        <f>Table1[[#This Row],[Profit]]/Table1[[#This Row],[BudgetUSD]]</f>
        <v>0</v>
      </c>
      <c r="T340" t="str">
        <f>IF(Table1[[#This Row],[ROI]]&gt;100%,"Hit","Flop")</f>
        <v>Flop</v>
      </c>
    </row>
    <row r="341" spans="1:20" x14ac:dyDescent="0.3">
      <c r="A341">
        <v>297</v>
      </c>
      <c r="B341" t="s">
        <v>635</v>
      </c>
      <c r="C341" t="s">
        <v>86</v>
      </c>
      <c r="D341">
        <v>1995</v>
      </c>
      <c r="E341" s="1">
        <v>35017</v>
      </c>
      <c r="F341" t="s">
        <v>23</v>
      </c>
      <c r="G341" s="2">
        <v>3869653.9</v>
      </c>
      <c r="H341" s="2">
        <v>5851368.9400000004</v>
      </c>
      <c r="I341" s="2">
        <v>14393466.43</v>
      </c>
      <c r="J341" s="2">
        <v>892815.52</v>
      </c>
      <c r="K341" s="2">
        <v>3126268.94</v>
      </c>
      <c r="L341">
        <v>7.4</v>
      </c>
      <c r="M341">
        <v>68</v>
      </c>
      <c r="N341">
        <v>1211</v>
      </c>
      <c r="O341">
        <v>50</v>
      </c>
      <c r="P341" t="s">
        <v>27</v>
      </c>
      <c r="Q341" t="s">
        <v>602</v>
      </c>
      <c r="R341" s="2">
        <f>Table1[[#This Row],[Global_BoxOfficeUSD]]-Table1[[#This Row],[BudgetUSD]]</f>
        <v>10523812.529999999</v>
      </c>
      <c r="S341" s="15">
        <f>Table1[[#This Row],[Profit]]/Table1[[#This Row],[BudgetUSD]]</f>
        <v>2.7195746188050562</v>
      </c>
      <c r="T341" t="str">
        <f>IF(Table1[[#This Row],[ROI]]&gt;100%,"Hit","Flop")</f>
        <v>Hit</v>
      </c>
    </row>
    <row r="342" spans="1:20" x14ac:dyDescent="0.3">
      <c r="A342">
        <v>47</v>
      </c>
      <c r="B342" t="s">
        <v>160</v>
      </c>
      <c r="C342" t="s">
        <v>38</v>
      </c>
      <c r="D342">
        <v>2003</v>
      </c>
      <c r="E342" s="1">
        <v>37766</v>
      </c>
      <c r="F342" t="s">
        <v>23</v>
      </c>
      <c r="G342" s="2">
        <v>3778402.22</v>
      </c>
      <c r="H342" s="2">
        <v>5801682.5499999998</v>
      </c>
      <c r="I342" s="2">
        <v>14321983.039999999</v>
      </c>
      <c r="J342" s="2">
        <v>1090064.1299999999</v>
      </c>
      <c r="K342" s="2">
        <v>2604561.73</v>
      </c>
      <c r="L342">
        <v>7.3</v>
      </c>
      <c r="M342">
        <v>78</v>
      </c>
      <c r="N342">
        <v>1304</v>
      </c>
      <c r="O342">
        <v>197</v>
      </c>
      <c r="P342" t="s">
        <v>161</v>
      </c>
      <c r="Q342" t="s">
        <v>162</v>
      </c>
      <c r="R342" s="2">
        <f>Table1[[#This Row],[Global_BoxOfficeUSD]]-Table1[[#This Row],[BudgetUSD]]</f>
        <v>10543580.819999998</v>
      </c>
      <c r="S342" s="15">
        <f>Table1[[#This Row],[Profit]]/Table1[[#This Row],[BudgetUSD]]</f>
        <v>2.7904866147363205</v>
      </c>
      <c r="T342" t="str">
        <f>IF(Table1[[#This Row],[ROI]]&gt;100%,"Hit","Flop")</f>
        <v>Hit</v>
      </c>
    </row>
    <row r="343" spans="1:20" x14ac:dyDescent="0.3">
      <c r="A343">
        <v>487</v>
      </c>
      <c r="B343" t="s">
        <v>888</v>
      </c>
      <c r="C343" t="s">
        <v>18</v>
      </c>
      <c r="D343">
        <v>2023</v>
      </c>
      <c r="E343" s="1">
        <v>45008</v>
      </c>
      <c r="F343" t="s">
        <v>23</v>
      </c>
      <c r="G343" s="2">
        <v>3569082.14</v>
      </c>
      <c r="H343" s="2">
        <v>6630077</v>
      </c>
      <c r="I343" s="2">
        <v>14211794.359999999</v>
      </c>
      <c r="J343" s="2">
        <v>1071250.6599999999</v>
      </c>
      <c r="K343" s="2">
        <v>3510791.42</v>
      </c>
      <c r="L343">
        <v>5.7</v>
      </c>
      <c r="M343">
        <v>66</v>
      </c>
      <c r="N343">
        <v>5579</v>
      </c>
      <c r="O343">
        <v>214</v>
      </c>
      <c r="P343" t="s">
        <v>503</v>
      </c>
      <c r="Q343" t="s">
        <v>720</v>
      </c>
      <c r="R343" s="2">
        <f>Table1[[#This Row],[Global_BoxOfficeUSD]]-Table1[[#This Row],[BudgetUSD]]</f>
        <v>10642712.219999999</v>
      </c>
      <c r="S343" s="15">
        <f>Table1[[#This Row],[Profit]]/Table1[[#This Row],[BudgetUSD]]</f>
        <v>2.9819185444692509</v>
      </c>
      <c r="T343" t="str">
        <f>IF(Table1[[#This Row],[ROI]]&gt;100%,"Hit","Flop")</f>
        <v>Hit</v>
      </c>
    </row>
    <row r="344" spans="1:20" x14ac:dyDescent="0.3">
      <c r="A344">
        <v>33</v>
      </c>
      <c r="B344" t="s">
        <v>119</v>
      </c>
      <c r="C344" t="s">
        <v>18</v>
      </c>
      <c r="D344">
        <v>2013</v>
      </c>
      <c r="E344" s="1">
        <v>41457</v>
      </c>
      <c r="F344" t="s">
        <v>23</v>
      </c>
      <c r="G344" s="2">
        <v>4171378</v>
      </c>
      <c r="H344" s="2">
        <v>6648127.9000000004</v>
      </c>
      <c r="I344" s="2">
        <v>14091331.15</v>
      </c>
      <c r="J344" s="2">
        <v>1534870.98</v>
      </c>
      <c r="K344" s="2">
        <v>3067624.23</v>
      </c>
      <c r="L344">
        <v>5.9</v>
      </c>
      <c r="M344">
        <v>67</v>
      </c>
      <c r="N344">
        <v>1374</v>
      </c>
      <c r="O344">
        <v>50</v>
      </c>
      <c r="P344" t="s">
        <v>120</v>
      </c>
      <c r="Q344" t="s">
        <v>121</v>
      </c>
      <c r="R344" s="2">
        <f>Table1[[#This Row],[Global_BoxOfficeUSD]]-Table1[[#This Row],[BudgetUSD]]</f>
        <v>9919953.1500000004</v>
      </c>
      <c r="S344" s="15">
        <f>Table1[[#This Row],[Profit]]/Table1[[#This Row],[BudgetUSD]]</f>
        <v>2.3780997910043156</v>
      </c>
      <c r="T344" t="str">
        <f>IF(Table1[[#This Row],[ROI]]&gt;100%,"Hit","Flop")</f>
        <v>Hit</v>
      </c>
    </row>
    <row r="345" spans="1:20" x14ac:dyDescent="0.3">
      <c r="A345">
        <v>794</v>
      </c>
      <c r="B345" t="s">
        <v>1214</v>
      </c>
      <c r="C345" t="s">
        <v>67</v>
      </c>
      <c r="D345">
        <v>2003</v>
      </c>
      <c r="E345" s="1">
        <v>37672</v>
      </c>
      <c r="F345" t="s">
        <v>23</v>
      </c>
      <c r="G345" s="2">
        <v>5735045.0999999996</v>
      </c>
      <c r="H345" s="2">
        <v>8771122.4499999993</v>
      </c>
      <c r="I345" s="2">
        <v>14077954.390000001</v>
      </c>
      <c r="J345" s="2">
        <v>1157683.29</v>
      </c>
      <c r="K345" s="2">
        <v>4743507.7</v>
      </c>
      <c r="L345">
        <v>5.5</v>
      </c>
      <c r="M345">
        <v>71</v>
      </c>
      <c r="N345">
        <v>5046</v>
      </c>
      <c r="O345">
        <v>863</v>
      </c>
      <c r="P345" t="s">
        <v>52</v>
      </c>
      <c r="Q345" t="s">
        <v>165</v>
      </c>
      <c r="R345" s="2">
        <f>Table1[[#This Row],[Global_BoxOfficeUSD]]-Table1[[#This Row],[BudgetUSD]]</f>
        <v>8342909.290000001</v>
      </c>
      <c r="S345" s="15">
        <f>Table1[[#This Row],[Profit]]/Table1[[#This Row],[BudgetUSD]]</f>
        <v>1.454724268864076</v>
      </c>
      <c r="T345" t="str">
        <f>IF(Table1[[#This Row],[ROI]]&gt;100%,"Hit","Flop")</f>
        <v>Hit</v>
      </c>
    </row>
    <row r="346" spans="1:20" x14ac:dyDescent="0.3">
      <c r="A346">
        <v>97</v>
      </c>
      <c r="B346" t="s">
        <v>281</v>
      </c>
      <c r="C346" t="s">
        <v>45</v>
      </c>
      <c r="D346">
        <v>1957</v>
      </c>
      <c r="E346" s="1">
        <v>20875</v>
      </c>
      <c r="F346" t="s">
        <v>23</v>
      </c>
      <c r="G346" s="2">
        <v>3090793.31</v>
      </c>
      <c r="H346" s="2">
        <v>9792788.2699999996</v>
      </c>
      <c r="I346" s="2">
        <v>14058850.84</v>
      </c>
      <c r="J346" s="2">
        <v>1666379.61</v>
      </c>
      <c r="K346" s="2">
        <v>5115475.0999999996</v>
      </c>
      <c r="L346">
        <v>5.2</v>
      </c>
      <c r="M346">
        <v>36</v>
      </c>
      <c r="N346">
        <v>368</v>
      </c>
      <c r="O346">
        <v>4183</v>
      </c>
      <c r="P346" t="s">
        <v>129</v>
      </c>
      <c r="Q346" t="s">
        <v>282</v>
      </c>
      <c r="R346" s="2">
        <f>Table1[[#This Row],[Global_BoxOfficeUSD]]-Table1[[#This Row],[BudgetUSD]]</f>
        <v>10968057.529999999</v>
      </c>
      <c r="S346" s="15">
        <f>Table1[[#This Row],[Profit]]/Table1[[#This Row],[BudgetUSD]]</f>
        <v>3.5486221270486697</v>
      </c>
      <c r="T346" t="str">
        <f>IF(Table1[[#This Row],[ROI]]&gt;100%,"Hit","Flop")</f>
        <v>Hit</v>
      </c>
    </row>
    <row r="347" spans="1:20" x14ac:dyDescent="0.3">
      <c r="A347">
        <v>697</v>
      </c>
      <c r="B347" t="s">
        <v>1116</v>
      </c>
      <c r="C347" t="s">
        <v>18</v>
      </c>
      <c r="D347">
        <v>1993</v>
      </c>
      <c r="E347" s="1">
        <v>34171</v>
      </c>
      <c r="F347" t="s">
        <v>23</v>
      </c>
      <c r="G347" s="2">
        <v>4770312.2</v>
      </c>
      <c r="H347" s="2">
        <v>6230860.7000000002</v>
      </c>
      <c r="I347" s="2">
        <v>13991065.720000001</v>
      </c>
      <c r="J347" s="2">
        <v>836115.39</v>
      </c>
      <c r="K347" s="2">
        <v>3298532.83</v>
      </c>
      <c r="L347">
        <v>4.4000000000000004</v>
      </c>
      <c r="M347">
        <v>43</v>
      </c>
      <c r="N347">
        <v>7965</v>
      </c>
      <c r="O347">
        <v>1079</v>
      </c>
      <c r="P347" t="s">
        <v>675</v>
      </c>
      <c r="Q347" t="s">
        <v>437</v>
      </c>
      <c r="R347" s="2">
        <f>Table1[[#This Row],[Global_BoxOfficeUSD]]-Table1[[#This Row],[BudgetUSD]]</f>
        <v>9220753.5199999996</v>
      </c>
      <c r="S347" s="15">
        <f>Table1[[#This Row],[Profit]]/Table1[[#This Row],[BudgetUSD]]</f>
        <v>1.932945504069943</v>
      </c>
      <c r="T347" t="str">
        <f>IF(Table1[[#This Row],[ROI]]&gt;100%,"Hit","Flop")</f>
        <v>Hit</v>
      </c>
    </row>
    <row r="348" spans="1:20" x14ac:dyDescent="0.3">
      <c r="A348">
        <v>447</v>
      </c>
      <c r="B348" t="s">
        <v>838</v>
      </c>
      <c r="C348" t="s">
        <v>77</v>
      </c>
      <c r="D348">
        <v>2019</v>
      </c>
      <c r="E348" s="1">
        <v>43715</v>
      </c>
      <c r="F348" t="s">
        <v>23</v>
      </c>
      <c r="G348" s="2">
        <v>3213128.72</v>
      </c>
      <c r="H348" s="2">
        <v>6991351.2300000004</v>
      </c>
      <c r="I348" s="2">
        <v>13933418.26</v>
      </c>
      <c r="J348" s="2">
        <v>1585183.82</v>
      </c>
      <c r="K348" s="2">
        <v>3918773.99</v>
      </c>
      <c r="L348">
        <v>3.6</v>
      </c>
      <c r="M348">
        <v>21</v>
      </c>
      <c r="N348">
        <v>191</v>
      </c>
      <c r="O348">
        <v>7821</v>
      </c>
      <c r="P348" t="s">
        <v>184</v>
      </c>
      <c r="Q348" t="s">
        <v>535</v>
      </c>
      <c r="R348" s="2">
        <f>Table1[[#This Row],[Global_BoxOfficeUSD]]-Table1[[#This Row],[BudgetUSD]]</f>
        <v>10720289.539999999</v>
      </c>
      <c r="S348" s="15">
        <f>Table1[[#This Row],[Profit]]/Table1[[#This Row],[BudgetUSD]]</f>
        <v>3.3364021407769804</v>
      </c>
      <c r="T348" t="str">
        <f>IF(Table1[[#This Row],[ROI]]&gt;100%,"Hit","Flop")</f>
        <v>Hit</v>
      </c>
    </row>
    <row r="349" spans="1:20" x14ac:dyDescent="0.3">
      <c r="A349">
        <v>744</v>
      </c>
      <c r="B349" t="s">
        <v>1162</v>
      </c>
      <c r="C349" t="s">
        <v>67</v>
      </c>
      <c r="D349">
        <v>2000</v>
      </c>
      <c r="E349" s="1">
        <v>36803</v>
      </c>
      <c r="F349" t="s">
        <v>23</v>
      </c>
      <c r="G349" s="2">
        <v>2863749.11</v>
      </c>
      <c r="H349" s="2">
        <v>8560535.6999999993</v>
      </c>
      <c r="I349" s="2">
        <v>13874329.27</v>
      </c>
      <c r="J349" s="2">
        <v>1091239.29</v>
      </c>
      <c r="K349" s="2">
        <v>4264533.05</v>
      </c>
      <c r="L349">
        <v>5.6</v>
      </c>
      <c r="M349">
        <v>55</v>
      </c>
      <c r="N349">
        <v>100</v>
      </c>
      <c r="O349">
        <v>800</v>
      </c>
      <c r="P349" t="s">
        <v>666</v>
      </c>
      <c r="Q349" t="s">
        <v>1163</v>
      </c>
      <c r="R349" s="2">
        <f>Table1[[#This Row],[Global_BoxOfficeUSD]]-Table1[[#This Row],[BudgetUSD]]</f>
        <v>11010580.16</v>
      </c>
      <c r="S349" s="15">
        <f>Table1[[#This Row],[Profit]]/Table1[[#This Row],[BudgetUSD]]</f>
        <v>3.8448131233116301</v>
      </c>
      <c r="T349" t="str">
        <f>IF(Table1[[#This Row],[ROI]]&gt;100%,"Hit","Flop")</f>
        <v>Hit</v>
      </c>
    </row>
    <row r="350" spans="1:20" x14ac:dyDescent="0.3">
      <c r="A350">
        <v>360</v>
      </c>
      <c r="B350" t="s">
        <v>719</v>
      </c>
      <c r="C350" t="s">
        <v>77</v>
      </c>
      <c r="D350">
        <v>2019</v>
      </c>
      <c r="E350" s="1">
        <v>43688</v>
      </c>
      <c r="F350" t="s">
        <v>23</v>
      </c>
      <c r="G350" s="2">
        <v>5801845.7999999998</v>
      </c>
      <c r="H350" s="2">
        <v>9020887.9600000009</v>
      </c>
      <c r="I350" s="2">
        <v>13694929.689999999</v>
      </c>
      <c r="J350" s="2">
        <v>1564678.04</v>
      </c>
      <c r="K350" s="2">
        <v>4852097.75</v>
      </c>
      <c r="L350">
        <v>7.7</v>
      </c>
      <c r="M350">
        <v>76</v>
      </c>
      <c r="N350">
        <v>4240</v>
      </c>
      <c r="O350">
        <v>769</v>
      </c>
      <c r="P350" t="s">
        <v>596</v>
      </c>
      <c r="Q350" t="s">
        <v>720</v>
      </c>
      <c r="R350" s="2">
        <f>Table1[[#This Row],[Global_BoxOfficeUSD]]-Table1[[#This Row],[BudgetUSD]]</f>
        <v>7893083.8899999997</v>
      </c>
      <c r="S350" s="15">
        <f>Table1[[#This Row],[Profit]]/Table1[[#This Row],[BudgetUSD]]</f>
        <v>1.3604435833161923</v>
      </c>
      <c r="T350" t="str">
        <f>IF(Table1[[#This Row],[ROI]]&gt;100%,"Hit","Flop")</f>
        <v>Hit</v>
      </c>
    </row>
    <row r="351" spans="1:20" x14ac:dyDescent="0.3">
      <c r="A351">
        <v>132</v>
      </c>
      <c r="B351" t="s">
        <v>355</v>
      </c>
      <c r="C351" t="s">
        <v>86</v>
      </c>
      <c r="D351">
        <v>2013</v>
      </c>
      <c r="E351" s="1">
        <v>41573</v>
      </c>
      <c r="F351" t="s">
        <v>132</v>
      </c>
      <c r="G351" s="2">
        <v>5713641.2999999998</v>
      </c>
      <c r="H351" s="2">
        <v>8177047.2999999998</v>
      </c>
      <c r="I351" s="2">
        <v>13665459.060000001</v>
      </c>
      <c r="J351" s="2">
        <v>1080793.1399999999</v>
      </c>
      <c r="K351" s="2">
        <v>3552288.78</v>
      </c>
      <c r="L351">
        <v>5.4</v>
      </c>
      <c r="M351">
        <v>68</v>
      </c>
      <c r="N351">
        <v>4078</v>
      </c>
      <c r="O351">
        <v>425</v>
      </c>
      <c r="P351" t="s">
        <v>356</v>
      </c>
      <c r="Q351" t="s">
        <v>357</v>
      </c>
      <c r="R351" s="2">
        <f>Table1[[#This Row],[Global_BoxOfficeUSD]]-Table1[[#This Row],[BudgetUSD]]</f>
        <v>7951817.7600000007</v>
      </c>
      <c r="S351" s="15">
        <f>Table1[[#This Row],[Profit]]/Table1[[#This Row],[BudgetUSD]]</f>
        <v>1.3917250563139134</v>
      </c>
      <c r="T351" t="str">
        <f>IF(Table1[[#This Row],[ROI]]&gt;100%,"Hit","Flop")</f>
        <v>Hit</v>
      </c>
    </row>
    <row r="352" spans="1:20" x14ac:dyDescent="0.3">
      <c r="A352">
        <v>624</v>
      </c>
      <c r="B352" t="s">
        <v>542</v>
      </c>
      <c r="C352" t="s">
        <v>18</v>
      </c>
      <c r="D352">
        <v>2002</v>
      </c>
      <c r="E352" s="1">
        <v>37292</v>
      </c>
      <c r="F352" t="s">
        <v>23</v>
      </c>
      <c r="G352" s="2">
        <v>9460810.75</v>
      </c>
      <c r="H352" s="2">
        <v>8791053.3800000008</v>
      </c>
      <c r="I352" s="2">
        <v>13608227.880000001</v>
      </c>
      <c r="J352" s="2">
        <v>1706941.98</v>
      </c>
      <c r="K352" s="2">
        <v>4990554.16</v>
      </c>
      <c r="L352">
        <v>7</v>
      </c>
      <c r="M352">
        <v>59</v>
      </c>
      <c r="N352">
        <v>13717</v>
      </c>
      <c r="O352">
        <v>50</v>
      </c>
      <c r="P352" t="s">
        <v>356</v>
      </c>
      <c r="Q352" t="s">
        <v>269</v>
      </c>
      <c r="R352" s="2">
        <f>Table1[[#This Row],[Global_BoxOfficeUSD]]-Table1[[#This Row],[BudgetUSD]]</f>
        <v>4147417.1300000008</v>
      </c>
      <c r="S352" s="15">
        <f>Table1[[#This Row],[Profit]]/Table1[[#This Row],[BudgetUSD]]</f>
        <v>0.43837861675861139</v>
      </c>
      <c r="T352" t="str">
        <f>IF(Table1[[#This Row],[ROI]]&gt;100%,"Hit","Flop")</f>
        <v>Flop</v>
      </c>
    </row>
    <row r="353" spans="1:20" x14ac:dyDescent="0.3">
      <c r="A353">
        <v>837</v>
      </c>
      <c r="B353" t="s">
        <v>1255</v>
      </c>
      <c r="C353" t="s">
        <v>18</v>
      </c>
      <c r="D353">
        <v>1988</v>
      </c>
      <c r="E353" s="1">
        <v>32301</v>
      </c>
      <c r="F353" t="s">
        <v>249</v>
      </c>
      <c r="G353" s="2">
        <v>3086745.67</v>
      </c>
      <c r="H353" s="2">
        <v>6795004.04</v>
      </c>
      <c r="I353" s="2">
        <v>13525829.300000001</v>
      </c>
      <c r="J353" s="2">
        <v>735697.77</v>
      </c>
      <c r="K353" s="2">
        <v>2729551.31</v>
      </c>
      <c r="L353">
        <v>7.7</v>
      </c>
      <c r="M353">
        <v>72</v>
      </c>
      <c r="N353">
        <v>4827</v>
      </c>
      <c r="O353">
        <v>284</v>
      </c>
      <c r="P353" t="s">
        <v>915</v>
      </c>
      <c r="Q353" t="s">
        <v>59</v>
      </c>
      <c r="R353" s="2">
        <f>Table1[[#This Row],[Global_BoxOfficeUSD]]-Table1[[#This Row],[BudgetUSD]]</f>
        <v>10439083.630000001</v>
      </c>
      <c r="S353" s="15">
        <f>Table1[[#This Row],[Profit]]/Table1[[#This Row],[BudgetUSD]]</f>
        <v>3.3819059767240236</v>
      </c>
      <c r="T353" t="str">
        <f>IF(Table1[[#This Row],[ROI]]&gt;100%,"Hit","Flop")</f>
        <v>Hit</v>
      </c>
    </row>
    <row r="354" spans="1:20" x14ac:dyDescent="0.3">
      <c r="A354">
        <v>968</v>
      </c>
      <c r="B354" t="s">
        <v>1377</v>
      </c>
      <c r="C354" t="s">
        <v>18</v>
      </c>
      <c r="D354">
        <v>2022</v>
      </c>
      <c r="E354" s="1">
        <v>44595</v>
      </c>
      <c r="F354" t="s">
        <v>23</v>
      </c>
      <c r="G354" s="2">
        <v>3891276.6</v>
      </c>
      <c r="H354" s="2">
        <v>7938302.8200000003</v>
      </c>
      <c r="I354" s="2">
        <v>13444617.07</v>
      </c>
      <c r="J354" s="2">
        <v>1190920.6200000001</v>
      </c>
      <c r="K354" s="2">
        <v>4449724.54</v>
      </c>
      <c r="L354">
        <v>6.8</v>
      </c>
      <c r="M354">
        <v>76</v>
      </c>
      <c r="N354">
        <v>353</v>
      </c>
      <c r="O354">
        <v>1656</v>
      </c>
      <c r="P354" t="s">
        <v>604</v>
      </c>
      <c r="Q354" t="s">
        <v>464</v>
      </c>
      <c r="R354" s="2">
        <f>Table1[[#This Row],[Global_BoxOfficeUSD]]-Table1[[#This Row],[BudgetUSD]]</f>
        <v>9553340.4700000007</v>
      </c>
      <c r="S354" s="15">
        <f>Table1[[#This Row],[Profit]]/Table1[[#This Row],[BudgetUSD]]</f>
        <v>2.4550658953413902</v>
      </c>
      <c r="T354" t="str">
        <f>IF(Table1[[#This Row],[ROI]]&gt;100%,"Hit","Flop")</f>
        <v>Hit</v>
      </c>
    </row>
    <row r="355" spans="1:20" x14ac:dyDescent="0.3">
      <c r="A355">
        <v>909</v>
      </c>
      <c r="B355" t="s">
        <v>1319</v>
      </c>
      <c r="C355" t="s">
        <v>67</v>
      </c>
      <c r="D355">
        <v>1986</v>
      </c>
      <c r="E355" s="1">
        <v>31669</v>
      </c>
      <c r="F355" t="s">
        <v>23</v>
      </c>
      <c r="G355" s="2">
        <v>4817611.5</v>
      </c>
      <c r="H355" s="2">
        <v>7790863.29</v>
      </c>
      <c r="I355" s="2">
        <v>13393959.99</v>
      </c>
      <c r="J355" s="2">
        <v>1174411.72</v>
      </c>
      <c r="K355" s="2">
        <v>4539066.22</v>
      </c>
      <c r="L355">
        <v>6.2</v>
      </c>
      <c r="M355">
        <v>52</v>
      </c>
      <c r="N355">
        <v>692</v>
      </c>
      <c r="O355">
        <v>768</v>
      </c>
      <c r="P355" t="s">
        <v>645</v>
      </c>
      <c r="Q355" t="s">
        <v>1056</v>
      </c>
      <c r="R355" s="2">
        <f>Table1[[#This Row],[Global_BoxOfficeUSD]]-Table1[[#This Row],[BudgetUSD]]</f>
        <v>8576348.4900000002</v>
      </c>
      <c r="S355" s="15">
        <f>Table1[[#This Row],[Profit]]/Table1[[#This Row],[BudgetUSD]]</f>
        <v>1.7802075758910823</v>
      </c>
      <c r="T355" t="str">
        <f>IF(Table1[[#This Row],[ROI]]&gt;100%,"Hit","Flop")</f>
        <v>Hit</v>
      </c>
    </row>
    <row r="356" spans="1:20" x14ac:dyDescent="0.3">
      <c r="A356">
        <v>993</v>
      </c>
      <c r="B356" t="s">
        <v>1403</v>
      </c>
      <c r="C356" t="s">
        <v>18</v>
      </c>
      <c r="D356">
        <v>2006</v>
      </c>
      <c r="E356" s="1">
        <v>38986</v>
      </c>
      <c r="F356" t="s">
        <v>23</v>
      </c>
      <c r="G356" s="2">
        <v>3214811.95</v>
      </c>
      <c r="H356" s="2">
        <v>5784201.9299999997</v>
      </c>
      <c r="I356" s="2">
        <v>13341639.76</v>
      </c>
      <c r="J356" s="2">
        <v>1021962.02</v>
      </c>
      <c r="K356" s="2">
        <v>3196620.07</v>
      </c>
      <c r="L356">
        <v>7.2</v>
      </c>
      <c r="M356">
        <v>66</v>
      </c>
      <c r="N356">
        <v>1988</v>
      </c>
      <c r="O356">
        <v>29915</v>
      </c>
      <c r="P356" t="s">
        <v>42</v>
      </c>
      <c r="Q356" t="s">
        <v>664</v>
      </c>
      <c r="R356" s="2">
        <f>Table1[[#This Row],[Global_BoxOfficeUSD]]-Table1[[#This Row],[BudgetUSD]]</f>
        <v>10126827.809999999</v>
      </c>
      <c r="S356" s="15">
        <f>Table1[[#This Row],[Profit]]/Table1[[#This Row],[BudgetUSD]]</f>
        <v>3.1500529323340354</v>
      </c>
      <c r="T356" t="str">
        <f>IF(Table1[[#This Row],[ROI]]&gt;100%,"Hit","Flop")</f>
        <v>Hit</v>
      </c>
    </row>
    <row r="357" spans="1:20" x14ac:dyDescent="0.3">
      <c r="A357">
        <v>719</v>
      </c>
      <c r="B357" t="s">
        <v>60</v>
      </c>
      <c r="C357" t="s">
        <v>67</v>
      </c>
      <c r="D357">
        <v>2016</v>
      </c>
      <c r="E357" s="1">
        <v>42545</v>
      </c>
      <c r="F357" t="s">
        <v>23</v>
      </c>
      <c r="G357" s="2">
        <v>7159658</v>
      </c>
      <c r="H357" s="2">
        <v>5782619.1699999999</v>
      </c>
      <c r="I357" s="2">
        <v>13228873.57</v>
      </c>
      <c r="J357" s="2">
        <v>841293.81</v>
      </c>
      <c r="K357" s="2">
        <v>3462271.23</v>
      </c>
      <c r="L357">
        <v>6.9</v>
      </c>
      <c r="M357">
        <v>66</v>
      </c>
      <c r="N357">
        <v>100</v>
      </c>
      <c r="O357">
        <v>398</v>
      </c>
      <c r="P357" t="s">
        <v>177</v>
      </c>
      <c r="Q357" t="s">
        <v>366</v>
      </c>
      <c r="R357" s="2">
        <f>Table1[[#This Row],[Global_BoxOfficeUSD]]-Table1[[#This Row],[BudgetUSD]]</f>
        <v>6069215.5700000003</v>
      </c>
      <c r="S357" s="15">
        <f>Table1[[#This Row],[Profit]]/Table1[[#This Row],[BudgetUSD]]</f>
        <v>0.84769629638734145</v>
      </c>
      <c r="T357" t="str">
        <f>IF(Table1[[#This Row],[ROI]]&gt;100%,"Hit","Flop")</f>
        <v>Flop</v>
      </c>
    </row>
    <row r="358" spans="1:20" x14ac:dyDescent="0.3">
      <c r="A358">
        <v>830</v>
      </c>
      <c r="B358" t="s">
        <v>1248</v>
      </c>
      <c r="C358" t="s">
        <v>18</v>
      </c>
      <c r="D358">
        <v>1994</v>
      </c>
      <c r="E358" s="1">
        <v>34337</v>
      </c>
      <c r="F358" t="s">
        <v>23</v>
      </c>
      <c r="G358" s="2">
        <v>7716206.9199999999</v>
      </c>
      <c r="H358" s="2">
        <v>7329520.5899999999</v>
      </c>
      <c r="I358" s="2">
        <v>13207509.960000001</v>
      </c>
      <c r="J358" s="2">
        <v>1880758.91</v>
      </c>
      <c r="K358" s="2">
        <v>3521921.85</v>
      </c>
      <c r="L358">
        <v>5.7</v>
      </c>
      <c r="M358">
        <v>52</v>
      </c>
      <c r="N358">
        <v>14566</v>
      </c>
      <c r="O358">
        <v>8214</v>
      </c>
      <c r="P358" t="s">
        <v>74</v>
      </c>
      <c r="Q358" t="s">
        <v>806</v>
      </c>
      <c r="R358" s="2">
        <f>Table1[[#This Row],[Global_BoxOfficeUSD]]-Table1[[#This Row],[BudgetUSD]]</f>
        <v>5491303.040000001</v>
      </c>
      <c r="S358" s="15">
        <f>Table1[[#This Row],[Profit]]/Table1[[#This Row],[BudgetUSD]]</f>
        <v>0.71165834417514573</v>
      </c>
      <c r="T358" t="str">
        <f>IF(Table1[[#This Row],[ROI]]&gt;100%,"Hit","Flop")</f>
        <v>Flop</v>
      </c>
    </row>
    <row r="359" spans="1:20" x14ac:dyDescent="0.3">
      <c r="A359">
        <v>214</v>
      </c>
      <c r="B359" t="s">
        <v>513</v>
      </c>
      <c r="C359" t="s">
        <v>18</v>
      </c>
      <c r="D359">
        <v>1981</v>
      </c>
      <c r="E359" s="1">
        <v>29684</v>
      </c>
      <c r="F359" t="s">
        <v>23</v>
      </c>
      <c r="G359" s="2">
        <v>3837324.54</v>
      </c>
      <c r="H359" s="2">
        <v>8979646.1799999997</v>
      </c>
      <c r="I359" s="2">
        <v>13052101.970000001</v>
      </c>
      <c r="J359" s="2">
        <v>1374104.11</v>
      </c>
      <c r="K359" s="2">
        <v>4377970.87</v>
      </c>
      <c r="L359">
        <v>5.9</v>
      </c>
      <c r="M359">
        <v>57</v>
      </c>
      <c r="N359">
        <v>495</v>
      </c>
      <c r="O359">
        <v>128</v>
      </c>
      <c r="P359" t="s">
        <v>158</v>
      </c>
      <c r="Q359" t="s">
        <v>514</v>
      </c>
      <c r="R359" s="2">
        <f>Table1[[#This Row],[Global_BoxOfficeUSD]]-Table1[[#This Row],[BudgetUSD]]</f>
        <v>9214777.4299999997</v>
      </c>
      <c r="S359" s="15">
        <f>Table1[[#This Row],[Profit]]/Table1[[#This Row],[BudgetUSD]]</f>
        <v>2.4013547287819446</v>
      </c>
      <c r="T359" t="str">
        <f>IF(Table1[[#This Row],[ROI]]&gt;100%,"Hit","Flop")</f>
        <v>Hit</v>
      </c>
    </row>
    <row r="360" spans="1:20" x14ac:dyDescent="0.3">
      <c r="A360">
        <v>273</v>
      </c>
      <c r="B360" t="s">
        <v>603</v>
      </c>
      <c r="C360" t="s">
        <v>38</v>
      </c>
      <c r="D360">
        <v>2014</v>
      </c>
      <c r="E360" s="1">
        <v>41872</v>
      </c>
      <c r="F360" t="s">
        <v>23</v>
      </c>
      <c r="G360" s="2">
        <v>13039406.65</v>
      </c>
      <c r="H360" s="2">
        <v>6829725.3799999999</v>
      </c>
      <c r="I360" s="2">
        <v>13039406.65</v>
      </c>
      <c r="J360" s="2">
        <v>959051</v>
      </c>
      <c r="K360" s="2">
        <v>3629657.97</v>
      </c>
      <c r="L360">
        <v>7.6</v>
      </c>
      <c r="M360">
        <v>70</v>
      </c>
      <c r="N360">
        <v>4380</v>
      </c>
      <c r="O360">
        <v>239</v>
      </c>
      <c r="P360" t="s">
        <v>604</v>
      </c>
      <c r="Q360" t="s">
        <v>399</v>
      </c>
      <c r="R360" s="2">
        <f>Table1[[#This Row],[Global_BoxOfficeUSD]]-Table1[[#This Row],[BudgetUSD]]</f>
        <v>0</v>
      </c>
      <c r="S360" s="15">
        <f>Table1[[#This Row],[Profit]]/Table1[[#This Row],[BudgetUSD]]</f>
        <v>0</v>
      </c>
      <c r="T360" t="str">
        <f>IF(Table1[[#This Row],[ROI]]&gt;100%,"Hit","Flop")</f>
        <v>Flop</v>
      </c>
    </row>
    <row r="361" spans="1:20" x14ac:dyDescent="0.3">
      <c r="A361">
        <v>450</v>
      </c>
      <c r="B361" t="s">
        <v>841</v>
      </c>
      <c r="C361" t="s">
        <v>86</v>
      </c>
      <c r="D361">
        <v>2016</v>
      </c>
      <c r="E361" s="1">
        <v>42637</v>
      </c>
      <c r="F361" t="s">
        <v>23</v>
      </c>
      <c r="G361" s="2">
        <v>2839228.79</v>
      </c>
      <c r="H361" s="2">
        <v>5266689.8499999996</v>
      </c>
      <c r="I361" s="2">
        <v>12938308.949999999</v>
      </c>
      <c r="J361" s="2">
        <v>742913.1</v>
      </c>
      <c r="K361" s="2">
        <v>2579293.2599999998</v>
      </c>
      <c r="L361">
        <v>5.6</v>
      </c>
      <c r="M361">
        <v>70</v>
      </c>
      <c r="N361">
        <v>3792</v>
      </c>
      <c r="O361">
        <v>1622</v>
      </c>
      <c r="P361" t="s">
        <v>326</v>
      </c>
      <c r="Q361" t="s">
        <v>733</v>
      </c>
      <c r="R361" s="2">
        <f>Table1[[#This Row],[Global_BoxOfficeUSD]]-Table1[[#This Row],[BudgetUSD]]</f>
        <v>10099080.16</v>
      </c>
      <c r="S361" s="15">
        <f>Table1[[#This Row],[Profit]]/Table1[[#This Row],[BudgetUSD]]</f>
        <v>3.5569800487969832</v>
      </c>
      <c r="T361" t="str">
        <f>IF(Table1[[#This Row],[ROI]]&gt;100%,"Hit","Flop")</f>
        <v>Hit</v>
      </c>
    </row>
    <row r="362" spans="1:20" x14ac:dyDescent="0.3">
      <c r="A362">
        <v>927</v>
      </c>
      <c r="B362" s="14" t="s">
        <v>1334</v>
      </c>
      <c r="C362" t="s">
        <v>67</v>
      </c>
      <c r="D362">
        <v>2006</v>
      </c>
      <c r="E362" s="1">
        <v>38752</v>
      </c>
      <c r="F362" t="s">
        <v>139</v>
      </c>
      <c r="G362" s="2">
        <v>5787188.1600000001</v>
      </c>
      <c r="H362" s="2">
        <v>5788704.2000000002</v>
      </c>
      <c r="I362" s="2">
        <v>12911273.85</v>
      </c>
      <c r="J362" s="2">
        <v>772205.12</v>
      </c>
      <c r="K362" s="2">
        <v>2682986.35</v>
      </c>
      <c r="L362">
        <v>3</v>
      </c>
      <c r="M362">
        <v>46</v>
      </c>
      <c r="N362">
        <v>1182</v>
      </c>
      <c r="O362">
        <v>53</v>
      </c>
      <c r="P362" t="s">
        <v>287</v>
      </c>
      <c r="Q362" t="s">
        <v>514</v>
      </c>
      <c r="R362" s="2">
        <f>Table1[[#This Row],[Global_BoxOfficeUSD]]-Table1[[#This Row],[BudgetUSD]]</f>
        <v>7124085.6899999995</v>
      </c>
      <c r="S362" s="15">
        <f>Table1[[#This Row],[Profit]]/Table1[[#This Row],[BudgetUSD]]</f>
        <v>1.2310098605814122</v>
      </c>
      <c r="T362" t="str">
        <f>IF(Table1[[#This Row],[ROI]]&gt;100%,"Hit","Flop")</f>
        <v>Hit</v>
      </c>
    </row>
    <row r="363" spans="1:20" x14ac:dyDescent="0.3">
      <c r="A363">
        <v>674</v>
      </c>
      <c r="B363" t="s">
        <v>937</v>
      </c>
      <c r="C363" t="s">
        <v>38</v>
      </c>
      <c r="D363">
        <v>1989</v>
      </c>
      <c r="E363" s="1">
        <v>32827</v>
      </c>
      <c r="F363" t="s">
        <v>19</v>
      </c>
      <c r="G363" s="2">
        <v>8690082.9600000009</v>
      </c>
      <c r="H363" s="2">
        <v>6537659.5</v>
      </c>
      <c r="I363" s="2">
        <v>12815965.65</v>
      </c>
      <c r="J363" s="2">
        <v>1725313.88</v>
      </c>
      <c r="K363" s="2">
        <v>3275655.9</v>
      </c>
      <c r="L363">
        <v>6.9</v>
      </c>
      <c r="M363">
        <v>61</v>
      </c>
      <c r="N363">
        <v>3136</v>
      </c>
      <c r="O363">
        <v>1472</v>
      </c>
      <c r="P363" t="s">
        <v>385</v>
      </c>
      <c r="Q363" t="s">
        <v>867</v>
      </c>
      <c r="R363" s="2">
        <f>Table1[[#This Row],[Global_BoxOfficeUSD]]-Table1[[#This Row],[BudgetUSD]]</f>
        <v>4125882.6899999995</v>
      </c>
      <c r="S363" s="15">
        <f>Table1[[#This Row],[Profit]]/Table1[[#This Row],[BudgetUSD]]</f>
        <v>0.4747805871349241</v>
      </c>
      <c r="T363" t="str">
        <f>IF(Table1[[#This Row],[ROI]]&gt;100%,"Hit","Flop")</f>
        <v>Flop</v>
      </c>
    </row>
    <row r="364" spans="1:20" x14ac:dyDescent="0.3">
      <c r="A364">
        <v>90</v>
      </c>
      <c r="B364" t="s">
        <v>263</v>
      </c>
      <c r="C364" t="s">
        <v>18</v>
      </c>
      <c r="D364">
        <v>2017</v>
      </c>
      <c r="E364" s="1">
        <v>42803</v>
      </c>
      <c r="F364" t="s">
        <v>23</v>
      </c>
      <c r="G364" s="2">
        <v>2635531.2799999998</v>
      </c>
      <c r="H364" s="2">
        <v>7771896.8499999996</v>
      </c>
      <c r="I364" s="2">
        <v>12786755.18</v>
      </c>
      <c r="J364" s="2">
        <v>1853562.36</v>
      </c>
      <c r="K364" s="2">
        <v>3350240.59</v>
      </c>
      <c r="L364">
        <v>8.9</v>
      </c>
      <c r="M364">
        <v>80</v>
      </c>
      <c r="N364">
        <v>4238</v>
      </c>
      <c r="O364">
        <v>6086</v>
      </c>
      <c r="P364" t="s">
        <v>264</v>
      </c>
      <c r="Q364" t="s">
        <v>265</v>
      </c>
      <c r="R364" s="2">
        <f>Table1[[#This Row],[Global_BoxOfficeUSD]]-Table1[[#This Row],[BudgetUSD]]</f>
        <v>10151223.9</v>
      </c>
      <c r="S364" s="15">
        <f>Table1[[#This Row],[Profit]]/Table1[[#This Row],[BudgetUSD]]</f>
        <v>3.8516802957466707</v>
      </c>
      <c r="T364" t="str">
        <f>IF(Table1[[#This Row],[ROI]]&gt;100%,"Hit","Flop")</f>
        <v>Hit</v>
      </c>
    </row>
    <row r="365" spans="1:20" x14ac:dyDescent="0.3">
      <c r="A365">
        <v>81</v>
      </c>
      <c r="B365" t="s">
        <v>243</v>
      </c>
      <c r="C365" t="s">
        <v>86</v>
      </c>
      <c r="D365">
        <v>2005</v>
      </c>
      <c r="E365" s="1">
        <v>38539</v>
      </c>
      <c r="F365" t="s">
        <v>23</v>
      </c>
      <c r="G365" s="2">
        <v>3223020.68</v>
      </c>
      <c r="H365" s="2">
        <v>6442093.1200000001</v>
      </c>
      <c r="I365" s="2">
        <v>12784602.43</v>
      </c>
      <c r="J365" s="2">
        <v>684472.83</v>
      </c>
      <c r="K365" s="2">
        <v>3100800.15</v>
      </c>
      <c r="L365">
        <v>5.7</v>
      </c>
      <c r="M365">
        <v>39</v>
      </c>
      <c r="N365">
        <v>2893</v>
      </c>
      <c r="O365">
        <v>87</v>
      </c>
      <c r="P365" t="s">
        <v>172</v>
      </c>
      <c r="Q365" t="s">
        <v>244</v>
      </c>
      <c r="R365" s="2">
        <f>Table1[[#This Row],[Global_BoxOfficeUSD]]-Table1[[#This Row],[BudgetUSD]]</f>
        <v>9561581.75</v>
      </c>
      <c r="S365" s="15">
        <f>Table1[[#This Row],[Profit]]/Table1[[#This Row],[BudgetUSD]]</f>
        <v>2.9666523113962766</v>
      </c>
      <c r="T365" t="str">
        <f>IF(Table1[[#This Row],[ROI]]&gt;100%,"Hit","Flop")</f>
        <v>Hit</v>
      </c>
    </row>
    <row r="366" spans="1:20" x14ac:dyDescent="0.3">
      <c r="A366">
        <v>162</v>
      </c>
      <c r="B366" t="s">
        <v>415</v>
      </c>
      <c r="C366" t="s">
        <v>45</v>
      </c>
      <c r="D366">
        <v>1979</v>
      </c>
      <c r="E366" s="1">
        <v>29022</v>
      </c>
      <c r="F366" t="s">
        <v>23</v>
      </c>
      <c r="G366" s="2">
        <v>4673216.75</v>
      </c>
      <c r="H366" s="2">
        <v>7263656.9699999997</v>
      </c>
      <c r="I366" s="2">
        <v>12775881.130000001</v>
      </c>
      <c r="J366" s="2">
        <v>1152113.6200000001</v>
      </c>
      <c r="K366" s="2">
        <v>3822526.66</v>
      </c>
      <c r="L366">
        <v>7.9</v>
      </c>
      <c r="M366">
        <v>64</v>
      </c>
      <c r="N366">
        <v>10357</v>
      </c>
      <c r="O366">
        <v>206</v>
      </c>
      <c r="P366" t="s">
        <v>416</v>
      </c>
      <c r="Q366" t="s">
        <v>417</v>
      </c>
      <c r="R366" s="2">
        <f>Table1[[#This Row],[Global_BoxOfficeUSD]]-Table1[[#This Row],[BudgetUSD]]</f>
        <v>8102664.3800000008</v>
      </c>
      <c r="S366" s="15">
        <f>Table1[[#This Row],[Profit]]/Table1[[#This Row],[BudgetUSD]]</f>
        <v>1.733851608744662</v>
      </c>
      <c r="T366" t="str">
        <f>IF(Table1[[#This Row],[ROI]]&gt;100%,"Hit","Flop")</f>
        <v>Hit</v>
      </c>
    </row>
    <row r="367" spans="1:20" x14ac:dyDescent="0.3">
      <c r="A367">
        <v>904</v>
      </c>
      <c r="B367" t="s">
        <v>1315</v>
      </c>
      <c r="C367" t="s">
        <v>77</v>
      </c>
      <c r="D367">
        <v>1962</v>
      </c>
      <c r="E367" s="1">
        <v>22929</v>
      </c>
      <c r="F367" t="s">
        <v>23</v>
      </c>
      <c r="G367" s="2">
        <v>8772604.1300000008</v>
      </c>
      <c r="H367" s="2">
        <v>8575619.5199999996</v>
      </c>
      <c r="I367" s="2">
        <v>12672343.199999999</v>
      </c>
      <c r="J367" s="2">
        <v>861402.56</v>
      </c>
      <c r="K367" s="2">
        <v>3573210.36</v>
      </c>
      <c r="L367">
        <v>7.6</v>
      </c>
      <c r="M367">
        <v>78</v>
      </c>
      <c r="N367">
        <v>14955</v>
      </c>
      <c r="O367">
        <v>14931</v>
      </c>
      <c r="P367" t="s">
        <v>192</v>
      </c>
      <c r="Q367" t="s">
        <v>278</v>
      </c>
      <c r="R367" s="2">
        <f>Table1[[#This Row],[Global_BoxOfficeUSD]]-Table1[[#This Row],[BudgetUSD]]</f>
        <v>3899739.0699999984</v>
      </c>
      <c r="S367" s="15">
        <f>Table1[[#This Row],[Profit]]/Table1[[#This Row],[BudgetUSD]]</f>
        <v>0.44453608212684709</v>
      </c>
      <c r="T367" t="str">
        <f>IF(Table1[[#This Row],[ROI]]&gt;100%,"Hit","Flop")</f>
        <v>Flop</v>
      </c>
    </row>
    <row r="368" spans="1:20" x14ac:dyDescent="0.3">
      <c r="A368">
        <v>775</v>
      </c>
      <c r="B368" t="s">
        <v>1196</v>
      </c>
      <c r="C368" t="s">
        <v>67</v>
      </c>
      <c r="D368">
        <v>2006</v>
      </c>
      <c r="E368" s="1">
        <v>38928</v>
      </c>
      <c r="F368" t="s">
        <v>19</v>
      </c>
      <c r="G368" s="2">
        <v>2891170.76</v>
      </c>
      <c r="H368" s="2">
        <v>7979816.1600000001</v>
      </c>
      <c r="I368" s="2">
        <v>12648579.439999999</v>
      </c>
      <c r="J368" s="2">
        <v>986079.56</v>
      </c>
      <c r="K368" s="2">
        <v>3327015.62</v>
      </c>
      <c r="L368">
        <v>5.5</v>
      </c>
      <c r="M368">
        <v>62</v>
      </c>
      <c r="N368">
        <v>2216</v>
      </c>
      <c r="O368">
        <v>3747</v>
      </c>
      <c r="P368" t="s">
        <v>136</v>
      </c>
      <c r="Q368" t="s">
        <v>408</v>
      </c>
      <c r="R368" s="2">
        <f>Table1[[#This Row],[Global_BoxOfficeUSD]]-Table1[[#This Row],[BudgetUSD]]</f>
        <v>9757408.6799999997</v>
      </c>
      <c r="S368" s="15">
        <f>Table1[[#This Row],[Profit]]/Table1[[#This Row],[BudgetUSD]]</f>
        <v>3.3748987832181867</v>
      </c>
      <c r="T368" t="str">
        <f>IF(Table1[[#This Row],[ROI]]&gt;100%,"Hit","Flop")</f>
        <v>Hit</v>
      </c>
    </row>
    <row r="369" spans="1:20" x14ac:dyDescent="0.3">
      <c r="A369">
        <v>989</v>
      </c>
      <c r="B369" t="s">
        <v>1399</v>
      </c>
      <c r="C369" t="s">
        <v>38</v>
      </c>
      <c r="D369">
        <v>1991</v>
      </c>
      <c r="E369" s="1">
        <v>33330</v>
      </c>
      <c r="F369" t="s">
        <v>23</v>
      </c>
      <c r="G369" s="2">
        <v>9900156.1099999994</v>
      </c>
      <c r="H369" s="2">
        <v>6166316.6799999997</v>
      </c>
      <c r="I369" s="2">
        <v>12645617.630000001</v>
      </c>
      <c r="J369" s="2">
        <v>911811.19</v>
      </c>
      <c r="K369" s="2">
        <v>2636120.35</v>
      </c>
      <c r="L369">
        <v>7.2</v>
      </c>
      <c r="M369">
        <v>62</v>
      </c>
      <c r="N369">
        <v>2498</v>
      </c>
      <c r="O369">
        <v>203</v>
      </c>
      <c r="P369" t="s">
        <v>490</v>
      </c>
      <c r="Q369" t="s">
        <v>978</v>
      </c>
      <c r="R369" s="2">
        <f>Table1[[#This Row],[Global_BoxOfficeUSD]]-Table1[[#This Row],[BudgetUSD]]</f>
        <v>2745461.5200000014</v>
      </c>
      <c r="S369" s="15">
        <f>Table1[[#This Row],[Profit]]/Table1[[#This Row],[BudgetUSD]]</f>
        <v>0.27731497256157928</v>
      </c>
      <c r="T369" t="str">
        <f>IF(Table1[[#This Row],[ROI]]&gt;100%,"Hit","Flop")</f>
        <v>Flop</v>
      </c>
    </row>
    <row r="370" spans="1:20" x14ac:dyDescent="0.3">
      <c r="A370">
        <v>730</v>
      </c>
      <c r="B370" t="s">
        <v>1147</v>
      </c>
      <c r="C370" t="s">
        <v>107</v>
      </c>
      <c r="D370">
        <v>2018</v>
      </c>
      <c r="E370" s="1">
        <v>43343</v>
      </c>
      <c r="F370" t="s">
        <v>23</v>
      </c>
      <c r="G370" s="2">
        <v>5806901.54</v>
      </c>
      <c r="H370" s="2">
        <v>6055433.7599999998</v>
      </c>
      <c r="I370" s="2">
        <v>12609818.539999999</v>
      </c>
      <c r="J370" s="2">
        <v>1672790.84</v>
      </c>
      <c r="K370" s="2">
        <v>2535936.2599999998</v>
      </c>
      <c r="L370">
        <v>6.3</v>
      </c>
      <c r="M370">
        <v>57</v>
      </c>
      <c r="N370">
        <v>3213</v>
      </c>
      <c r="O370">
        <v>444</v>
      </c>
      <c r="P370" t="s">
        <v>424</v>
      </c>
      <c r="Q370" t="s">
        <v>150</v>
      </c>
      <c r="R370" s="2">
        <f>Table1[[#This Row],[Global_BoxOfficeUSD]]-Table1[[#This Row],[BudgetUSD]]</f>
        <v>6802916.9999999991</v>
      </c>
      <c r="S370" s="15">
        <f>Table1[[#This Row],[Profit]]/Table1[[#This Row],[BudgetUSD]]</f>
        <v>1.1715227050328116</v>
      </c>
      <c r="T370" t="str">
        <f>IF(Table1[[#This Row],[ROI]]&gt;100%,"Hit","Flop")</f>
        <v>Hit</v>
      </c>
    </row>
    <row r="371" spans="1:20" x14ac:dyDescent="0.3">
      <c r="A371">
        <v>451</v>
      </c>
      <c r="B371" t="s">
        <v>842</v>
      </c>
      <c r="C371" t="s">
        <v>86</v>
      </c>
      <c r="D371">
        <v>1998</v>
      </c>
      <c r="E371" s="1">
        <v>35870</v>
      </c>
      <c r="F371" t="s">
        <v>23</v>
      </c>
      <c r="G371" s="2">
        <v>7343355.5</v>
      </c>
      <c r="H371" s="2">
        <v>5164793.42</v>
      </c>
      <c r="I371" s="2">
        <v>12500798.529999999</v>
      </c>
      <c r="J371" s="2">
        <v>1104625.56</v>
      </c>
      <c r="K371" s="2">
        <v>2804560.63</v>
      </c>
      <c r="L371">
        <v>10</v>
      </c>
      <c r="M371">
        <v>100</v>
      </c>
      <c r="N371">
        <v>17143</v>
      </c>
      <c r="O371">
        <v>178</v>
      </c>
      <c r="P371" t="s">
        <v>24</v>
      </c>
      <c r="Q371" t="s">
        <v>843</v>
      </c>
      <c r="R371" s="2">
        <f>Table1[[#This Row],[Global_BoxOfficeUSD]]-Table1[[#This Row],[BudgetUSD]]</f>
        <v>5157443.0299999993</v>
      </c>
      <c r="S371" s="15">
        <f>Table1[[#This Row],[Profit]]/Table1[[#This Row],[BudgetUSD]]</f>
        <v>0.70232784317741381</v>
      </c>
      <c r="T371" t="str">
        <f>IF(Table1[[#This Row],[ROI]]&gt;100%,"Hit","Flop")</f>
        <v>Flop</v>
      </c>
    </row>
    <row r="372" spans="1:20" x14ac:dyDescent="0.3">
      <c r="A372">
        <v>11</v>
      </c>
      <c r="B372" t="s">
        <v>54</v>
      </c>
      <c r="C372" t="s">
        <v>33</v>
      </c>
      <c r="D372">
        <v>1999</v>
      </c>
      <c r="E372" s="1">
        <v>36420</v>
      </c>
      <c r="F372" t="s">
        <v>23</v>
      </c>
      <c r="G372" s="2">
        <v>3667201.98</v>
      </c>
      <c r="H372" s="2">
        <v>7945886.2599999998</v>
      </c>
      <c r="I372" s="2">
        <v>12490413.6</v>
      </c>
      <c r="J372" s="2">
        <v>1360084</v>
      </c>
      <c r="K372" s="2">
        <v>4090873.55</v>
      </c>
      <c r="L372">
        <v>6.7</v>
      </c>
      <c r="M372">
        <v>63</v>
      </c>
      <c r="N372">
        <v>426</v>
      </c>
      <c r="O372">
        <v>456</v>
      </c>
      <c r="P372" t="s">
        <v>55</v>
      </c>
      <c r="Q372" t="s">
        <v>56</v>
      </c>
      <c r="R372" s="2">
        <f>Table1[[#This Row],[Global_BoxOfficeUSD]]-Table1[[#This Row],[BudgetUSD]]</f>
        <v>8823211.6199999992</v>
      </c>
      <c r="S372" s="15">
        <f>Table1[[#This Row],[Profit]]/Table1[[#This Row],[BudgetUSD]]</f>
        <v>2.4059791819811354</v>
      </c>
      <c r="T372" t="str">
        <f>IF(Table1[[#This Row],[ROI]]&gt;100%,"Hit","Flop")</f>
        <v>Hit</v>
      </c>
    </row>
    <row r="373" spans="1:20" x14ac:dyDescent="0.3">
      <c r="A373">
        <v>217</v>
      </c>
      <c r="B373" t="s">
        <v>519</v>
      </c>
      <c r="C373" t="s">
        <v>33</v>
      </c>
      <c r="D373">
        <v>2015</v>
      </c>
      <c r="E373" s="1">
        <v>42358</v>
      </c>
      <c r="F373" t="s">
        <v>23</v>
      </c>
      <c r="G373" s="2">
        <v>12436497.4</v>
      </c>
      <c r="H373" s="2">
        <v>7821288.5899999999</v>
      </c>
      <c r="I373" s="2">
        <v>12436497.4</v>
      </c>
      <c r="J373" s="2">
        <v>1514392.4</v>
      </c>
      <c r="K373" s="2">
        <v>3726929.5</v>
      </c>
      <c r="L373">
        <v>7</v>
      </c>
      <c r="M373">
        <v>74</v>
      </c>
      <c r="N373">
        <v>3193</v>
      </c>
      <c r="O373">
        <v>2215</v>
      </c>
      <c r="P373" t="s">
        <v>24</v>
      </c>
      <c r="Q373" t="s">
        <v>520</v>
      </c>
      <c r="R373" s="2">
        <f>Table1[[#This Row],[Global_BoxOfficeUSD]]-Table1[[#This Row],[BudgetUSD]]</f>
        <v>0</v>
      </c>
      <c r="S373" s="15">
        <f>Table1[[#This Row],[Profit]]/Table1[[#This Row],[BudgetUSD]]</f>
        <v>0</v>
      </c>
      <c r="T373" t="str">
        <f>IF(Table1[[#This Row],[ROI]]&gt;100%,"Hit","Flop")</f>
        <v>Flop</v>
      </c>
    </row>
    <row r="374" spans="1:20" x14ac:dyDescent="0.3">
      <c r="A374">
        <v>6</v>
      </c>
      <c r="B374" t="s">
        <v>37</v>
      </c>
      <c r="C374" t="s">
        <v>38</v>
      </c>
      <c r="D374">
        <v>1996</v>
      </c>
      <c r="E374" s="1">
        <v>35194</v>
      </c>
      <c r="F374" t="s">
        <v>23</v>
      </c>
      <c r="G374" s="2">
        <v>6356058.1100000003</v>
      </c>
      <c r="H374" s="2">
        <v>6790420.6200000001</v>
      </c>
      <c r="I374" s="2">
        <v>12332192.699999999</v>
      </c>
      <c r="J374" s="2">
        <v>1877251.88</v>
      </c>
      <c r="K374" s="2">
        <v>3681524.22</v>
      </c>
      <c r="L374">
        <v>8.9</v>
      </c>
      <c r="M374">
        <v>100</v>
      </c>
      <c r="N374">
        <v>362</v>
      </c>
      <c r="O374">
        <v>229</v>
      </c>
      <c r="P374" t="s">
        <v>39</v>
      </c>
      <c r="Q374" t="s">
        <v>40</v>
      </c>
      <c r="R374" s="2">
        <f>Table1[[#This Row],[Global_BoxOfficeUSD]]-Table1[[#This Row],[BudgetUSD]]</f>
        <v>5976134.5899999989</v>
      </c>
      <c r="S374" s="15">
        <f>Table1[[#This Row],[Profit]]/Table1[[#This Row],[BudgetUSD]]</f>
        <v>0.94022655025726287</v>
      </c>
      <c r="T374" t="str">
        <f>IF(Table1[[#This Row],[ROI]]&gt;100%,"Hit","Flop")</f>
        <v>Flop</v>
      </c>
    </row>
    <row r="375" spans="1:20" x14ac:dyDescent="0.3">
      <c r="A375">
        <v>782</v>
      </c>
      <c r="B375" t="s">
        <v>1203</v>
      </c>
      <c r="C375" t="s">
        <v>45</v>
      </c>
      <c r="D375">
        <v>2017</v>
      </c>
      <c r="E375" s="1">
        <v>42829</v>
      </c>
      <c r="F375" t="s">
        <v>132</v>
      </c>
      <c r="G375" s="2">
        <v>3795943.09</v>
      </c>
      <c r="H375" s="2">
        <v>5806092.9900000002</v>
      </c>
      <c r="I375" s="2">
        <v>12326584.23</v>
      </c>
      <c r="J375" s="2">
        <v>1162242.52</v>
      </c>
      <c r="K375" s="2">
        <v>3239283.99</v>
      </c>
      <c r="L375">
        <v>7.4</v>
      </c>
      <c r="M375">
        <v>76</v>
      </c>
      <c r="N375">
        <v>1872</v>
      </c>
      <c r="O375">
        <v>3202</v>
      </c>
      <c r="P375" t="s">
        <v>316</v>
      </c>
      <c r="Q375" t="s">
        <v>53</v>
      </c>
      <c r="R375" s="2">
        <f>Table1[[#This Row],[Global_BoxOfficeUSD]]-Table1[[#This Row],[BudgetUSD]]</f>
        <v>8530641.1400000006</v>
      </c>
      <c r="S375" s="15">
        <f>Table1[[#This Row],[Profit]]/Table1[[#This Row],[BudgetUSD]]</f>
        <v>2.2473048035080003</v>
      </c>
      <c r="T375" t="str">
        <f>IF(Table1[[#This Row],[ROI]]&gt;100%,"Hit","Flop")</f>
        <v>Hit</v>
      </c>
    </row>
    <row r="376" spans="1:20" x14ac:dyDescent="0.3">
      <c r="A376">
        <v>982</v>
      </c>
      <c r="B376" t="s">
        <v>1052</v>
      </c>
      <c r="C376" t="s">
        <v>18</v>
      </c>
      <c r="D376">
        <v>2014</v>
      </c>
      <c r="E376" s="1">
        <v>42000</v>
      </c>
      <c r="F376" t="s">
        <v>23</v>
      </c>
      <c r="G376" s="2">
        <v>3781971.76</v>
      </c>
      <c r="H376" s="2">
        <v>5473518.7999999998</v>
      </c>
      <c r="I376" s="2">
        <v>12300931.390000001</v>
      </c>
      <c r="J376" s="2">
        <v>590703.4</v>
      </c>
      <c r="K376" s="2">
        <v>2472641.8199999998</v>
      </c>
      <c r="L376">
        <v>5.7</v>
      </c>
      <c r="M376">
        <v>47</v>
      </c>
      <c r="N376">
        <v>89665</v>
      </c>
      <c r="O376">
        <v>71</v>
      </c>
      <c r="P376" t="s">
        <v>310</v>
      </c>
      <c r="Q376" t="s">
        <v>404</v>
      </c>
      <c r="R376" s="2">
        <f>Table1[[#This Row],[Global_BoxOfficeUSD]]-Table1[[#This Row],[BudgetUSD]]</f>
        <v>8518959.6300000008</v>
      </c>
      <c r="S376" s="15">
        <f>Table1[[#This Row],[Profit]]/Table1[[#This Row],[BudgetUSD]]</f>
        <v>2.2525180436566776</v>
      </c>
      <c r="T376" t="str">
        <f>IF(Table1[[#This Row],[ROI]]&gt;100%,"Hit","Flop")</f>
        <v>Hit</v>
      </c>
    </row>
    <row r="377" spans="1:20" x14ac:dyDescent="0.3">
      <c r="A377">
        <v>788</v>
      </c>
      <c r="B377" t="s">
        <v>1208</v>
      </c>
      <c r="C377" t="s">
        <v>77</v>
      </c>
      <c r="D377">
        <v>1950</v>
      </c>
      <c r="E377" s="1">
        <v>18551</v>
      </c>
      <c r="F377" t="s">
        <v>23</v>
      </c>
      <c r="G377" s="2">
        <v>4842933.22</v>
      </c>
      <c r="H377" s="2">
        <v>7623593.1900000004</v>
      </c>
      <c r="I377" s="2">
        <v>12191668.17</v>
      </c>
      <c r="J377" s="2">
        <v>1929274.05</v>
      </c>
      <c r="K377" s="2">
        <v>3200145.86</v>
      </c>
      <c r="L377">
        <v>6.1</v>
      </c>
      <c r="M377">
        <v>61</v>
      </c>
      <c r="N377">
        <v>2344</v>
      </c>
      <c r="O377">
        <v>703</v>
      </c>
      <c r="P377" t="s">
        <v>604</v>
      </c>
      <c r="Q377" t="s">
        <v>775</v>
      </c>
      <c r="R377" s="2">
        <f>Table1[[#This Row],[Global_BoxOfficeUSD]]-Table1[[#This Row],[BudgetUSD]]</f>
        <v>7348734.9500000002</v>
      </c>
      <c r="S377" s="15">
        <f>Table1[[#This Row],[Profit]]/Table1[[#This Row],[BudgetUSD]]</f>
        <v>1.5174140580034676</v>
      </c>
      <c r="T377" t="str">
        <f>IF(Table1[[#This Row],[ROI]]&gt;100%,"Hit","Flop")</f>
        <v>Hit</v>
      </c>
    </row>
    <row r="378" spans="1:20" x14ac:dyDescent="0.3">
      <c r="A378">
        <v>36</v>
      </c>
      <c r="B378" t="s">
        <v>128</v>
      </c>
      <c r="C378" t="s">
        <v>45</v>
      </c>
      <c r="D378">
        <v>2018</v>
      </c>
      <c r="E378" s="1">
        <v>43424</v>
      </c>
      <c r="F378" t="s">
        <v>23</v>
      </c>
      <c r="G378" s="2">
        <v>2430470.62</v>
      </c>
      <c r="H378" s="2">
        <v>5927177.4900000002</v>
      </c>
      <c r="I378" s="2">
        <v>12039047.949999999</v>
      </c>
      <c r="J378" s="2">
        <v>1211567.8799999999</v>
      </c>
      <c r="K378" s="2">
        <v>2610598.5499999998</v>
      </c>
      <c r="L378">
        <v>5.7</v>
      </c>
      <c r="M378">
        <v>56</v>
      </c>
      <c r="N378">
        <v>2839</v>
      </c>
      <c r="O378">
        <v>141</v>
      </c>
      <c r="P378" t="s">
        <v>129</v>
      </c>
      <c r="Q378" t="s">
        <v>130</v>
      </c>
      <c r="R378" s="2">
        <f>Table1[[#This Row],[Global_BoxOfficeUSD]]-Table1[[#This Row],[BudgetUSD]]</f>
        <v>9608577.3299999982</v>
      </c>
      <c r="S378" s="15">
        <f>Table1[[#This Row],[Profit]]/Table1[[#This Row],[BudgetUSD]]</f>
        <v>3.9533813949168404</v>
      </c>
      <c r="T378" t="str">
        <f>IF(Table1[[#This Row],[ROI]]&gt;100%,"Hit","Flop")</f>
        <v>Hit</v>
      </c>
    </row>
    <row r="379" spans="1:20" x14ac:dyDescent="0.3">
      <c r="A379">
        <v>804</v>
      </c>
      <c r="B379" t="s">
        <v>1224</v>
      </c>
      <c r="C379" t="s">
        <v>86</v>
      </c>
      <c r="D379">
        <v>2017</v>
      </c>
      <c r="E379" s="1">
        <v>42828</v>
      </c>
      <c r="F379" t="s">
        <v>23</v>
      </c>
      <c r="G379" s="2">
        <v>3640593.19</v>
      </c>
      <c r="H379" s="2">
        <v>5666522.4199999999</v>
      </c>
      <c r="I379" s="2">
        <v>11918489.51</v>
      </c>
      <c r="J379" s="2">
        <v>1452009.4</v>
      </c>
      <c r="K379" s="2">
        <v>2269379.3199999998</v>
      </c>
      <c r="L379">
        <v>7.8</v>
      </c>
      <c r="M379">
        <v>77</v>
      </c>
      <c r="N379">
        <v>15480</v>
      </c>
      <c r="O379">
        <v>2672</v>
      </c>
      <c r="P379" t="s">
        <v>601</v>
      </c>
      <c r="Q379" t="s">
        <v>640</v>
      </c>
      <c r="R379" s="2">
        <f>Table1[[#This Row],[Global_BoxOfficeUSD]]-Table1[[#This Row],[BudgetUSD]]</f>
        <v>8277896.3200000003</v>
      </c>
      <c r="S379" s="15">
        <f>Table1[[#This Row],[Profit]]/Table1[[#This Row],[BudgetUSD]]</f>
        <v>2.2737767962478665</v>
      </c>
      <c r="T379" t="str">
        <f>IF(Table1[[#This Row],[ROI]]&gt;100%,"Hit","Flop")</f>
        <v>Hit</v>
      </c>
    </row>
    <row r="380" spans="1:20" x14ac:dyDescent="0.3">
      <c r="A380">
        <v>266</v>
      </c>
      <c r="B380" t="s">
        <v>591</v>
      </c>
      <c r="C380" t="s">
        <v>18</v>
      </c>
      <c r="D380">
        <v>2017</v>
      </c>
      <c r="E380" s="1">
        <v>42828</v>
      </c>
      <c r="F380" t="s">
        <v>318</v>
      </c>
      <c r="G380" s="2">
        <v>2403251.4</v>
      </c>
      <c r="H380" s="2">
        <v>5075522.8</v>
      </c>
      <c r="I380" s="2">
        <v>11775166.4</v>
      </c>
      <c r="J380" s="2">
        <v>980154.67</v>
      </c>
      <c r="K380" s="2">
        <v>2994420.08</v>
      </c>
      <c r="L380">
        <v>7.5</v>
      </c>
      <c r="M380">
        <v>94</v>
      </c>
      <c r="N380">
        <v>8737</v>
      </c>
      <c r="O380">
        <v>53</v>
      </c>
      <c r="P380" t="s">
        <v>237</v>
      </c>
      <c r="Q380" t="s">
        <v>127</v>
      </c>
      <c r="R380" s="2">
        <f>Table1[[#This Row],[Global_BoxOfficeUSD]]-Table1[[#This Row],[BudgetUSD]]</f>
        <v>9371915</v>
      </c>
      <c r="S380" s="15">
        <f>Table1[[#This Row],[Profit]]/Table1[[#This Row],[BudgetUSD]]</f>
        <v>3.8996814898349794</v>
      </c>
      <c r="T380" t="str">
        <f>IF(Table1[[#This Row],[ROI]]&gt;100%,"Hit","Flop")</f>
        <v>Hit</v>
      </c>
    </row>
    <row r="381" spans="1:20" x14ac:dyDescent="0.3">
      <c r="A381">
        <v>435</v>
      </c>
      <c r="B381" t="s">
        <v>820</v>
      </c>
      <c r="C381" t="s">
        <v>67</v>
      </c>
      <c r="D381">
        <v>1985</v>
      </c>
      <c r="E381" s="1">
        <v>31225</v>
      </c>
      <c r="F381" t="s">
        <v>23</v>
      </c>
      <c r="G381" s="2">
        <v>3808125.83</v>
      </c>
      <c r="H381" s="2">
        <v>7145863.3700000001</v>
      </c>
      <c r="I381" s="2">
        <v>11718720.15</v>
      </c>
      <c r="J381" s="2">
        <v>2048112.94</v>
      </c>
      <c r="K381" s="2">
        <v>4185078.47</v>
      </c>
      <c r="L381">
        <v>8.6999999999999993</v>
      </c>
      <c r="M381">
        <v>88</v>
      </c>
      <c r="N381">
        <v>30685</v>
      </c>
      <c r="O381">
        <v>528</v>
      </c>
      <c r="P381" t="s">
        <v>675</v>
      </c>
      <c r="Q381" t="s">
        <v>821</v>
      </c>
      <c r="R381" s="2">
        <f>Table1[[#This Row],[Global_BoxOfficeUSD]]-Table1[[#This Row],[BudgetUSD]]</f>
        <v>7910594.3200000003</v>
      </c>
      <c r="S381" s="15">
        <f>Table1[[#This Row],[Profit]]/Table1[[#This Row],[BudgetUSD]]</f>
        <v>2.0772933125479209</v>
      </c>
      <c r="T381" t="str">
        <f>IF(Table1[[#This Row],[ROI]]&gt;100%,"Hit","Flop")</f>
        <v>Hit</v>
      </c>
    </row>
    <row r="382" spans="1:20" x14ac:dyDescent="0.3">
      <c r="A382">
        <v>964</v>
      </c>
      <c r="B382" t="s">
        <v>151</v>
      </c>
      <c r="C382" t="s">
        <v>38</v>
      </c>
      <c r="D382">
        <v>1972</v>
      </c>
      <c r="E382" s="1">
        <v>26322</v>
      </c>
      <c r="F382" t="s">
        <v>152</v>
      </c>
      <c r="G382" s="2">
        <v>9138472.1699999999</v>
      </c>
      <c r="H382" s="2">
        <v>6658891.5899999999</v>
      </c>
      <c r="I382" s="2">
        <v>11690278.24</v>
      </c>
      <c r="J382" s="2">
        <v>1379032.11</v>
      </c>
      <c r="K382" s="2">
        <v>2973329.27</v>
      </c>
      <c r="L382">
        <v>5.2</v>
      </c>
      <c r="M382">
        <v>55</v>
      </c>
      <c r="N382">
        <v>875</v>
      </c>
      <c r="O382">
        <v>50</v>
      </c>
      <c r="P382" t="s">
        <v>351</v>
      </c>
      <c r="Q382" t="s">
        <v>609</v>
      </c>
      <c r="R382" s="2">
        <f>Table1[[#This Row],[Global_BoxOfficeUSD]]-Table1[[#This Row],[BudgetUSD]]</f>
        <v>2551806.0700000003</v>
      </c>
      <c r="S382" s="15">
        <f>Table1[[#This Row],[Profit]]/Table1[[#This Row],[BudgetUSD]]</f>
        <v>0.27923771310232048</v>
      </c>
      <c r="T382" t="str">
        <f>IF(Table1[[#This Row],[ROI]]&gt;100%,"Hit","Flop")</f>
        <v>Flop</v>
      </c>
    </row>
    <row r="383" spans="1:20" x14ac:dyDescent="0.3">
      <c r="A383">
        <v>785</v>
      </c>
      <c r="B383" t="s">
        <v>1205</v>
      </c>
      <c r="C383" t="s">
        <v>18</v>
      </c>
      <c r="D383">
        <v>2002</v>
      </c>
      <c r="E383" s="1">
        <v>37553</v>
      </c>
      <c r="F383" t="s">
        <v>23</v>
      </c>
      <c r="G383" s="2">
        <v>2991840.14</v>
      </c>
      <c r="H383" s="2">
        <v>4759286.57</v>
      </c>
      <c r="I383" s="2">
        <v>11639253.050000001</v>
      </c>
      <c r="J383" s="2">
        <v>479893.02</v>
      </c>
      <c r="K383" s="2">
        <v>1971032.57</v>
      </c>
      <c r="L383">
        <v>5.5</v>
      </c>
      <c r="M383">
        <v>33</v>
      </c>
      <c r="N383">
        <v>960</v>
      </c>
      <c r="O383">
        <v>570</v>
      </c>
      <c r="P383" t="s">
        <v>126</v>
      </c>
      <c r="Q383" t="s">
        <v>389</v>
      </c>
      <c r="R383" s="2">
        <f>Table1[[#This Row],[Global_BoxOfficeUSD]]-Table1[[#This Row],[BudgetUSD]]</f>
        <v>8647412.9100000001</v>
      </c>
      <c r="S383" s="15">
        <f>Table1[[#This Row],[Profit]]/Table1[[#This Row],[BudgetUSD]]</f>
        <v>2.8903325396255966</v>
      </c>
      <c r="T383" t="str">
        <f>IF(Table1[[#This Row],[ROI]]&gt;100%,"Hit","Flop")</f>
        <v>Hit</v>
      </c>
    </row>
    <row r="384" spans="1:20" x14ac:dyDescent="0.3">
      <c r="A384">
        <v>873</v>
      </c>
      <c r="B384" t="s">
        <v>1289</v>
      </c>
      <c r="C384" t="s">
        <v>18</v>
      </c>
      <c r="D384">
        <v>2025</v>
      </c>
      <c r="E384" s="1">
        <v>45947</v>
      </c>
      <c r="F384" t="s">
        <v>23</v>
      </c>
      <c r="G384" s="2">
        <v>11543452.220000001</v>
      </c>
      <c r="H384" s="2">
        <v>7805581.0999999996</v>
      </c>
      <c r="I384" s="2">
        <v>11543452.220000001</v>
      </c>
      <c r="J384" s="2">
        <v>2240785.12</v>
      </c>
      <c r="K384" s="2">
        <v>3720677.84</v>
      </c>
      <c r="L384">
        <v>5.3</v>
      </c>
      <c r="M384">
        <v>63</v>
      </c>
      <c r="N384">
        <v>774</v>
      </c>
      <c r="O384">
        <v>1183</v>
      </c>
      <c r="P384" t="s">
        <v>319</v>
      </c>
      <c r="Q384" t="s">
        <v>381</v>
      </c>
      <c r="R384" s="2">
        <f>Table1[[#This Row],[Global_BoxOfficeUSD]]-Table1[[#This Row],[BudgetUSD]]</f>
        <v>0</v>
      </c>
      <c r="S384" s="15">
        <f>Table1[[#This Row],[Profit]]/Table1[[#This Row],[BudgetUSD]]</f>
        <v>0</v>
      </c>
      <c r="T384" t="str">
        <f>IF(Table1[[#This Row],[ROI]]&gt;100%,"Hit","Flop")</f>
        <v>Flop</v>
      </c>
    </row>
    <row r="385" spans="1:20" x14ac:dyDescent="0.3">
      <c r="A385">
        <v>225</v>
      </c>
      <c r="B385" t="s">
        <v>533</v>
      </c>
      <c r="C385" t="s">
        <v>86</v>
      </c>
      <c r="D385">
        <v>2002</v>
      </c>
      <c r="E385" s="1">
        <v>37260</v>
      </c>
      <c r="F385" t="s">
        <v>139</v>
      </c>
      <c r="G385" s="2">
        <v>2569802.77</v>
      </c>
      <c r="H385" s="2">
        <v>7399261.3799999999</v>
      </c>
      <c r="I385" s="2">
        <v>11504873.439999999</v>
      </c>
      <c r="J385" s="2">
        <v>1390930.24</v>
      </c>
      <c r="K385" s="2">
        <v>3904181.51</v>
      </c>
      <c r="L385">
        <v>4.7</v>
      </c>
      <c r="M385">
        <v>64</v>
      </c>
      <c r="N385">
        <v>7399</v>
      </c>
      <c r="O385">
        <v>50</v>
      </c>
      <c r="P385" t="s">
        <v>208</v>
      </c>
      <c r="Q385" t="s">
        <v>455</v>
      </c>
      <c r="R385" s="2">
        <f>Table1[[#This Row],[Global_BoxOfficeUSD]]-Table1[[#This Row],[BudgetUSD]]</f>
        <v>8935070.6699999999</v>
      </c>
      <c r="S385" s="15">
        <f>Table1[[#This Row],[Profit]]/Table1[[#This Row],[BudgetUSD]]</f>
        <v>3.4769480266378574</v>
      </c>
      <c r="T385" t="str">
        <f>IF(Table1[[#This Row],[ROI]]&gt;100%,"Hit","Flop")</f>
        <v>Hit</v>
      </c>
    </row>
    <row r="386" spans="1:20" x14ac:dyDescent="0.3">
      <c r="A386">
        <v>516</v>
      </c>
      <c r="B386" t="s">
        <v>924</v>
      </c>
      <c r="C386" t="s">
        <v>18</v>
      </c>
      <c r="D386">
        <v>2019</v>
      </c>
      <c r="E386" s="1">
        <v>43793</v>
      </c>
      <c r="F386" t="s">
        <v>23</v>
      </c>
      <c r="G386" s="2">
        <v>2644416.96</v>
      </c>
      <c r="H386" s="2">
        <v>6705173.6100000003</v>
      </c>
      <c r="I386" s="2">
        <v>11476121.779999999</v>
      </c>
      <c r="J386" s="2">
        <v>1568616.28</v>
      </c>
      <c r="K386" s="2">
        <v>3407799.45</v>
      </c>
      <c r="L386">
        <v>8.6</v>
      </c>
      <c r="M386">
        <v>100</v>
      </c>
      <c r="N386">
        <v>7495</v>
      </c>
      <c r="O386">
        <v>113</v>
      </c>
      <c r="P386" t="s">
        <v>158</v>
      </c>
      <c r="Q386" t="s">
        <v>364</v>
      </c>
      <c r="R386" s="2">
        <f>Table1[[#This Row],[Global_BoxOfficeUSD]]-Table1[[#This Row],[BudgetUSD]]</f>
        <v>8831704.8200000003</v>
      </c>
      <c r="S386" s="15">
        <f>Table1[[#This Row],[Profit]]/Table1[[#This Row],[BudgetUSD]]</f>
        <v>3.3397550210841183</v>
      </c>
      <c r="T386" t="str">
        <f>IF(Table1[[#This Row],[ROI]]&gt;100%,"Hit","Flop")</f>
        <v>Hit</v>
      </c>
    </row>
    <row r="387" spans="1:20" x14ac:dyDescent="0.3">
      <c r="A387">
        <v>854</v>
      </c>
      <c r="B387" t="s">
        <v>1271</v>
      </c>
      <c r="C387" t="s">
        <v>33</v>
      </c>
      <c r="D387">
        <v>1988</v>
      </c>
      <c r="E387" s="1">
        <v>32176</v>
      </c>
      <c r="F387" t="s">
        <v>23</v>
      </c>
      <c r="G387" s="2">
        <v>4525858.41</v>
      </c>
      <c r="H387" s="2">
        <v>7280642.9400000004</v>
      </c>
      <c r="I387" s="2">
        <v>11439726.09</v>
      </c>
      <c r="J387" s="2">
        <v>936849.49</v>
      </c>
      <c r="K387" s="2">
        <v>3410542.66</v>
      </c>
      <c r="L387">
        <v>6.4</v>
      </c>
      <c r="M387">
        <v>56</v>
      </c>
      <c r="N387">
        <v>503</v>
      </c>
      <c r="O387">
        <v>331</v>
      </c>
      <c r="P387" t="s">
        <v>219</v>
      </c>
      <c r="Q387" t="s">
        <v>50</v>
      </c>
      <c r="R387" s="2">
        <f>Table1[[#This Row],[Global_BoxOfficeUSD]]-Table1[[#This Row],[BudgetUSD]]</f>
        <v>6913867.6799999997</v>
      </c>
      <c r="S387" s="15">
        <f>Table1[[#This Row],[Profit]]/Table1[[#This Row],[BudgetUSD]]</f>
        <v>1.5276367605145649</v>
      </c>
      <c r="T387" t="str">
        <f>IF(Table1[[#This Row],[ROI]]&gt;100%,"Hit","Flop")</f>
        <v>Hit</v>
      </c>
    </row>
    <row r="388" spans="1:20" x14ac:dyDescent="0.3">
      <c r="A388">
        <v>110</v>
      </c>
      <c r="B388" t="s">
        <v>309</v>
      </c>
      <c r="C388" t="s">
        <v>18</v>
      </c>
      <c r="D388">
        <v>2000</v>
      </c>
      <c r="E388" s="1">
        <v>36529</v>
      </c>
      <c r="F388" t="s">
        <v>23</v>
      </c>
      <c r="G388" s="2">
        <v>3960232.64</v>
      </c>
      <c r="H388" s="2">
        <v>4823338.07</v>
      </c>
      <c r="I388" s="2">
        <v>11422177.25</v>
      </c>
      <c r="J388" s="2">
        <v>1011985.59</v>
      </c>
      <c r="K388" s="2">
        <v>2391087.9900000002</v>
      </c>
      <c r="L388">
        <v>6.4</v>
      </c>
      <c r="M388">
        <v>76</v>
      </c>
      <c r="N388">
        <v>17403</v>
      </c>
      <c r="O388">
        <v>50</v>
      </c>
      <c r="P388" t="s">
        <v>310</v>
      </c>
      <c r="Q388" t="s">
        <v>311</v>
      </c>
      <c r="R388" s="2">
        <f>Table1[[#This Row],[Global_BoxOfficeUSD]]-Table1[[#This Row],[BudgetUSD]]</f>
        <v>7461944.6099999994</v>
      </c>
      <c r="S388" s="15">
        <f>Table1[[#This Row],[Profit]]/Table1[[#This Row],[BudgetUSD]]</f>
        <v>1.8842187538760347</v>
      </c>
      <c r="T388" t="str">
        <f>IF(Table1[[#This Row],[ROI]]&gt;100%,"Hit","Flop")</f>
        <v>Hit</v>
      </c>
    </row>
    <row r="389" spans="1:20" x14ac:dyDescent="0.3">
      <c r="A389">
        <v>205</v>
      </c>
      <c r="B389" t="s">
        <v>499</v>
      </c>
      <c r="C389" t="s">
        <v>33</v>
      </c>
      <c r="D389">
        <v>1951</v>
      </c>
      <c r="E389" s="1">
        <v>18643</v>
      </c>
      <c r="F389" t="s">
        <v>23</v>
      </c>
      <c r="G389" s="2">
        <v>3183708.19</v>
      </c>
      <c r="H389" s="2">
        <v>7710437.5199999996</v>
      </c>
      <c r="I389" s="2">
        <v>11400509.289999999</v>
      </c>
      <c r="J389" s="2">
        <v>1320060.01</v>
      </c>
      <c r="K389" s="2">
        <v>3284477.49</v>
      </c>
      <c r="L389">
        <v>7.5</v>
      </c>
      <c r="M389">
        <v>90</v>
      </c>
      <c r="N389">
        <v>10743</v>
      </c>
      <c r="O389">
        <v>226</v>
      </c>
      <c r="P389" t="s">
        <v>500</v>
      </c>
      <c r="Q389" t="s">
        <v>501</v>
      </c>
      <c r="R389" s="2">
        <f>Table1[[#This Row],[Global_BoxOfficeUSD]]-Table1[[#This Row],[BudgetUSD]]</f>
        <v>8216801.0999999996</v>
      </c>
      <c r="S389" s="15">
        <f>Table1[[#This Row],[Profit]]/Table1[[#This Row],[BudgetUSD]]</f>
        <v>2.5808901474729691</v>
      </c>
      <c r="T389" t="str">
        <f>IF(Table1[[#This Row],[ROI]]&gt;100%,"Hit","Flop")</f>
        <v>Hit</v>
      </c>
    </row>
    <row r="390" spans="1:20" x14ac:dyDescent="0.3">
      <c r="A390">
        <v>374</v>
      </c>
      <c r="B390" t="s">
        <v>740</v>
      </c>
      <c r="C390" t="s">
        <v>107</v>
      </c>
      <c r="D390">
        <v>1990</v>
      </c>
      <c r="E390" s="1">
        <v>32925</v>
      </c>
      <c r="F390" t="s">
        <v>23</v>
      </c>
      <c r="G390" s="2">
        <v>5148700.04</v>
      </c>
      <c r="H390" s="2">
        <v>6781161.3099999996</v>
      </c>
      <c r="I390" s="2">
        <v>11345238.470000001</v>
      </c>
      <c r="J390" s="2">
        <v>1424637.92</v>
      </c>
      <c r="K390" s="2">
        <v>2727379.15</v>
      </c>
      <c r="L390">
        <v>6</v>
      </c>
      <c r="M390">
        <v>60</v>
      </c>
      <c r="N390">
        <v>12748</v>
      </c>
      <c r="O390">
        <v>50</v>
      </c>
      <c r="P390" t="s">
        <v>27</v>
      </c>
      <c r="Q390" t="s">
        <v>514</v>
      </c>
      <c r="R390" s="2">
        <f>Table1[[#This Row],[Global_BoxOfficeUSD]]-Table1[[#This Row],[BudgetUSD]]</f>
        <v>6196538.4300000006</v>
      </c>
      <c r="S390" s="15">
        <f>Table1[[#This Row],[Profit]]/Table1[[#This Row],[BudgetUSD]]</f>
        <v>1.2035151362206762</v>
      </c>
      <c r="T390" t="str">
        <f>IF(Table1[[#This Row],[ROI]]&gt;100%,"Hit","Flop")</f>
        <v>Hit</v>
      </c>
    </row>
    <row r="391" spans="1:20" x14ac:dyDescent="0.3">
      <c r="A391">
        <v>133</v>
      </c>
      <c r="B391" t="s">
        <v>358</v>
      </c>
      <c r="C391" t="s">
        <v>38</v>
      </c>
      <c r="D391">
        <v>2011</v>
      </c>
      <c r="E391" s="1">
        <v>40828</v>
      </c>
      <c r="F391" t="s">
        <v>139</v>
      </c>
      <c r="G391" s="2">
        <v>4776779.09</v>
      </c>
      <c r="H391" s="2">
        <v>7887454.5899999999</v>
      </c>
      <c r="I391" s="2">
        <v>11329652.59</v>
      </c>
      <c r="J391" s="2">
        <v>1356226.02</v>
      </c>
      <c r="K391" s="2">
        <v>3318264.83</v>
      </c>
      <c r="L391">
        <v>10</v>
      </c>
      <c r="M391">
        <v>87</v>
      </c>
      <c r="N391">
        <v>14592</v>
      </c>
      <c r="O391">
        <v>59</v>
      </c>
      <c r="P391" t="s">
        <v>307</v>
      </c>
      <c r="Q391" t="s">
        <v>127</v>
      </c>
      <c r="R391" s="2">
        <f>Table1[[#This Row],[Global_BoxOfficeUSD]]-Table1[[#This Row],[BudgetUSD]]</f>
        <v>6552873.5</v>
      </c>
      <c r="S391" s="15">
        <f>Table1[[#This Row],[Profit]]/Table1[[#This Row],[BudgetUSD]]</f>
        <v>1.3718184108028324</v>
      </c>
      <c r="T391" t="str">
        <f>IF(Table1[[#This Row],[ROI]]&gt;100%,"Hit","Flop")</f>
        <v>Hit</v>
      </c>
    </row>
    <row r="392" spans="1:20" x14ac:dyDescent="0.3">
      <c r="A392">
        <v>375</v>
      </c>
      <c r="B392" t="s">
        <v>741</v>
      </c>
      <c r="C392" t="s">
        <v>77</v>
      </c>
      <c r="D392">
        <v>1990</v>
      </c>
      <c r="E392" s="1">
        <v>33007</v>
      </c>
      <c r="F392" t="s">
        <v>23</v>
      </c>
      <c r="G392" s="2">
        <v>11204803.6</v>
      </c>
      <c r="H392" s="2">
        <v>4633486.9000000004</v>
      </c>
      <c r="I392" s="2">
        <v>11204803.6</v>
      </c>
      <c r="J392" s="2">
        <v>1274229.48</v>
      </c>
      <c r="K392" s="2">
        <v>1919297.98</v>
      </c>
      <c r="L392">
        <v>7.3</v>
      </c>
      <c r="M392">
        <v>81</v>
      </c>
      <c r="N392">
        <v>4357</v>
      </c>
      <c r="O392">
        <v>318</v>
      </c>
      <c r="P392" t="s">
        <v>742</v>
      </c>
      <c r="Q392" t="s">
        <v>650</v>
      </c>
      <c r="R392" s="2">
        <f>Table1[[#This Row],[Global_BoxOfficeUSD]]-Table1[[#This Row],[BudgetUSD]]</f>
        <v>0</v>
      </c>
      <c r="S392" s="15">
        <f>Table1[[#This Row],[Profit]]/Table1[[#This Row],[BudgetUSD]]</f>
        <v>0</v>
      </c>
      <c r="T392" t="str">
        <f>IF(Table1[[#This Row],[ROI]]&gt;100%,"Hit","Flop")</f>
        <v>Flop</v>
      </c>
    </row>
    <row r="393" spans="1:20" x14ac:dyDescent="0.3">
      <c r="A393">
        <v>863</v>
      </c>
      <c r="B393" t="s">
        <v>1279</v>
      </c>
      <c r="C393" t="s">
        <v>45</v>
      </c>
      <c r="D393">
        <v>2008</v>
      </c>
      <c r="E393" s="1">
        <v>39714</v>
      </c>
      <c r="F393" t="s">
        <v>23</v>
      </c>
      <c r="G393" s="2">
        <v>10457663.99</v>
      </c>
      <c r="H393" s="2">
        <v>6497474.1900000004</v>
      </c>
      <c r="I393" s="2">
        <v>11172809.029999999</v>
      </c>
      <c r="J393" s="2">
        <v>1699849.78</v>
      </c>
      <c r="K393" s="2">
        <v>3494659.68</v>
      </c>
      <c r="L393">
        <v>5.8</v>
      </c>
      <c r="M393">
        <v>50</v>
      </c>
      <c r="N393">
        <v>919</v>
      </c>
      <c r="O393">
        <v>439</v>
      </c>
      <c r="P393" t="s">
        <v>337</v>
      </c>
      <c r="Q393" t="s">
        <v>752</v>
      </c>
      <c r="R393" s="2">
        <f>Table1[[#This Row],[Global_BoxOfficeUSD]]-Table1[[#This Row],[BudgetUSD]]</f>
        <v>715145.03999999911</v>
      </c>
      <c r="S393" s="15">
        <f>Table1[[#This Row],[Profit]]/Table1[[#This Row],[BudgetUSD]]</f>
        <v>6.8384778922314468E-2</v>
      </c>
      <c r="T393" t="str">
        <f>IF(Table1[[#This Row],[ROI]]&gt;100%,"Hit","Flop")</f>
        <v>Flop</v>
      </c>
    </row>
    <row r="394" spans="1:20" x14ac:dyDescent="0.3">
      <c r="A394">
        <v>940</v>
      </c>
      <c r="B394" t="s">
        <v>1347</v>
      </c>
      <c r="C394" t="s">
        <v>33</v>
      </c>
      <c r="D394">
        <v>2023</v>
      </c>
      <c r="E394" s="1">
        <v>45161</v>
      </c>
      <c r="F394" t="s">
        <v>23</v>
      </c>
      <c r="G394" s="2">
        <v>2457396.94</v>
      </c>
      <c r="H394" s="2">
        <v>5466889.2800000003</v>
      </c>
      <c r="I394" s="2">
        <v>11161433.52</v>
      </c>
      <c r="J394" s="2">
        <v>636200.65</v>
      </c>
      <c r="K394" s="2">
        <v>2249648.98</v>
      </c>
      <c r="L394">
        <v>6.7</v>
      </c>
      <c r="M394">
        <v>57</v>
      </c>
      <c r="N394">
        <v>749</v>
      </c>
      <c r="O394">
        <v>1571</v>
      </c>
      <c r="P394" t="s">
        <v>302</v>
      </c>
      <c r="Q394" t="s">
        <v>397</v>
      </c>
      <c r="R394" s="2">
        <f>Table1[[#This Row],[Global_BoxOfficeUSD]]-Table1[[#This Row],[BudgetUSD]]</f>
        <v>8704036.5800000001</v>
      </c>
      <c r="S394" s="15">
        <f>Table1[[#This Row],[Profit]]/Table1[[#This Row],[BudgetUSD]]</f>
        <v>3.5419742078786833</v>
      </c>
      <c r="T394" t="str">
        <f>IF(Table1[[#This Row],[ROI]]&gt;100%,"Hit","Flop")</f>
        <v>Hit</v>
      </c>
    </row>
    <row r="395" spans="1:20" x14ac:dyDescent="0.3">
      <c r="A395">
        <v>59</v>
      </c>
      <c r="B395" t="s">
        <v>191</v>
      </c>
      <c r="C395" t="s">
        <v>18</v>
      </c>
      <c r="D395">
        <v>2000</v>
      </c>
      <c r="E395" s="1">
        <v>36635</v>
      </c>
      <c r="F395" t="s">
        <v>23</v>
      </c>
      <c r="G395" s="2">
        <v>2927562.18</v>
      </c>
      <c r="H395" s="2">
        <v>7461160.8799999999</v>
      </c>
      <c r="I395" s="2">
        <v>11152470.789999999</v>
      </c>
      <c r="J395" s="2">
        <v>764578.61</v>
      </c>
      <c r="K395" s="2">
        <v>4017239.65</v>
      </c>
      <c r="L395">
        <v>6.7</v>
      </c>
      <c r="M395">
        <v>88</v>
      </c>
      <c r="N395">
        <v>8358</v>
      </c>
      <c r="O395">
        <v>448</v>
      </c>
      <c r="P395" t="s">
        <v>192</v>
      </c>
      <c r="Q395" t="s">
        <v>193</v>
      </c>
      <c r="R395" s="2">
        <f>Table1[[#This Row],[Global_BoxOfficeUSD]]-Table1[[#This Row],[BudgetUSD]]</f>
        <v>8224908.6099999994</v>
      </c>
      <c r="S395" s="15">
        <f>Table1[[#This Row],[Profit]]/Table1[[#This Row],[BudgetUSD]]</f>
        <v>2.8094735839223057</v>
      </c>
      <c r="T395" t="str">
        <f>IF(Table1[[#This Row],[ROI]]&gt;100%,"Hit","Flop")</f>
        <v>Hit</v>
      </c>
    </row>
    <row r="396" spans="1:20" x14ac:dyDescent="0.3">
      <c r="A396">
        <v>827</v>
      </c>
      <c r="B396" t="s">
        <v>1244</v>
      </c>
      <c r="C396" t="s">
        <v>33</v>
      </c>
      <c r="D396">
        <v>2025</v>
      </c>
      <c r="E396" s="1">
        <v>46006</v>
      </c>
      <c r="F396" t="s">
        <v>23</v>
      </c>
      <c r="G396" s="2">
        <v>4131061.51</v>
      </c>
      <c r="H396" s="2">
        <v>6093719.96</v>
      </c>
      <c r="I396" s="2">
        <v>11087746.199999999</v>
      </c>
      <c r="J396" s="2">
        <v>1645787.34</v>
      </c>
      <c r="K396" s="2">
        <v>3285321.76</v>
      </c>
      <c r="L396">
        <v>5.7</v>
      </c>
      <c r="M396">
        <v>50</v>
      </c>
      <c r="N396">
        <v>1372</v>
      </c>
      <c r="O396">
        <v>50</v>
      </c>
      <c r="P396" t="s">
        <v>337</v>
      </c>
      <c r="Q396" t="s">
        <v>1245</v>
      </c>
      <c r="R396" s="2">
        <f>Table1[[#This Row],[Global_BoxOfficeUSD]]-Table1[[#This Row],[BudgetUSD]]</f>
        <v>6956684.6899999995</v>
      </c>
      <c r="S396" s="15">
        <f>Table1[[#This Row],[Profit]]/Table1[[#This Row],[BudgetUSD]]</f>
        <v>1.683994458363802</v>
      </c>
      <c r="T396" t="str">
        <f>IF(Table1[[#This Row],[ROI]]&gt;100%,"Hit","Flop")</f>
        <v>Hit</v>
      </c>
    </row>
    <row r="397" spans="1:20" x14ac:dyDescent="0.3">
      <c r="A397">
        <v>129</v>
      </c>
      <c r="B397" t="s">
        <v>350</v>
      </c>
      <c r="C397" t="s">
        <v>18</v>
      </c>
      <c r="D397">
        <v>2004</v>
      </c>
      <c r="E397" s="1">
        <v>38309</v>
      </c>
      <c r="F397" t="s">
        <v>23</v>
      </c>
      <c r="G397" s="2">
        <v>6738796.9500000002</v>
      </c>
      <c r="H397" s="2">
        <v>6795687.6399999997</v>
      </c>
      <c r="I397" s="2">
        <v>11060464.26</v>
      </c>
      <c r="J397" s="2">
        <v>803792.87</v>
      </c>
      <c r="K397" s="2">
        <v>3085891.19</v>
      </c>
      <c r="L397">
        <v>8</v>
      </c>
      <c r="M397">
        <v>84</v>
      </c>
      <c r="N397">
        <v>25966</v>
      </c>
      <c r="O397">
        <v>1124</v>
      </c>
      <c r="P397" t="s">
        <v>351</v>
      </c>
      <c r="Q397" t="s">
        <v>147</v>
      </c>
      <c r="R397" s="2">
        <f>Table1[[#This Row],[Global_BoxOfficeUSD]]-Table1[[#This Row],[BudgetUSD]]</f>
        <v>4321667.3099999996</v>
      </c>
      <c r="S397" s="15">
        <f>Table1[[#This Row],[Profit]]/Table1[[#This Row],[BudgetUSD]]</f>
        <v>0.64131140054605729</v>
      </c>
      <c r="T397" t="str">
        <f>IF(Table1[[#This Row],[ROI]]&gt;100%,"Hit","Flop")</f>
        <v>Flop</v>
      </c>
    </row>
    <row r="398" spans="1:20" x14ac:dyDescent="0.3">
      <c r="A398">
        <v>814</v>
      </c>
      <c r="B398" t="s">
        <v>1232</v>
      </c>
      <c r="C398" t="s">
        <v>107</v>
      </c>
      <c r="D398">
        <v>1999</v>
      </c>
      <c r="E398" s="1">
        <v>36411</v>
      </c>
      <c r="F398" t="s">
        <v>249</v>
      </c>
      <c r="G398" s="2">
        <v>11035288.76</v>
      </c>
      <c r="H398" s="2">
        <v>6989357.8099999996</v>
      </c>
      <c r="I398" s="2">
        <v>11035288.76</v>
      </c>
      <c r="J398" s="2">
        <v>907565.35</v>
      </c>
      <c r="K398" s="2">
        <v>3660101.67</v>
      </c>
      <c r="L398">
        <v>6.8</v>
      </c>
      <c r="M398">
        <v>62</v>
      </c>
      <c r="N398">
        <v>9403</v>
      </c>
      <c r="O398">
        <v>50</v>
      </c>
      <c r="P398" t="s">
        <v>385</v>
      </c>
      <c r="Q398" t="s">
        <v>1233</v>
      </c>
      <c r="R398" s="2">
        <f>Table1[[#This Row],[Global_BoxOfficeUSD]]-Table1[[#This Row],[BudgetUSD]]</f>
        <v>0</v>
      </c>
      <c r="S398" s="15">
        <f>Table1[[#This Row],[Profit]]/Table1[[#This Row],[BudgetUSD]]</f>
        <v>0</v>
      </c>
      <c r="T398" t="str">
        <f>IF(Table1[[#This Row],[ROI]]&gt;100%,"Hit","Flop")</f>
        <v>Flop</v>
      </c>
    </row>
    <row r="399" spans="1:20" x14ac:dyDescent="0.3">
      <c r="A399">
        <v>392</v>
      </c>
      <c r="B399" t="s">
        <v>767</v>
      </c>
      <c r="C399" t="s">
        <v>86</v>
      </c>
      <c r="D399">
        <v>1997</v>
      </c>
      <c r="E399" s="1">
        <v>35723</v>
      </c>
      <c r="F399" t="s">
        <v>23</v>
      </c>
      <c r="G399" s="2">
        <v>7085970.0599999996</v>
      </c>
      <c r="H399" s="2">
        <v>4609937.0599999996</v>
      </c>
      <c r="I399" s="2">
        <v>10929184.26</v>
      </c>
      <c r="J399" s="2">
        <v>549131.57999999996</v>
      </c>
      <c r="K399" s="2">
        <v>2123540.81</v>
      </c>
      <c r="L399">
        <v>6</v>
      </c>
      <c r="M399">
        <v>60</v>
      </c>
      <c r="N399">
        <v>3697</v>
      </c>
      <c r="O399">
        <v>471</v>
      </c>
      <c r="P399" t="s">
        <v>136</v>
      </c>
      <c r="Q399" t="s">
        <v>653</v>
      </c>
      <c r="R399" s="2">
        <f>Table1[[#This Row],[Global_BoxOfficeUSD]]-Table1[[#This Row],[BudgetUSD]]</f>
        <v>3843214.2</v>
      </c>
      <c r="S399" s="15">
        <f>Table1[[#This Row],[Profit]]/Table1[[#This Row],[BudgetUSD]]</f>
        <v>0.54236952279756034</v>
      </c>
      <c r="T399" t="str">
        <f>IF(Table1[[#This Row],[ROI]]&gt;100%,"Hit","Flop")</f>
        <v>Flop</v>
      </c>
    </row>
    <row r="400" spans="1:20" x14ac:dyDescent="0.3">
      <c r="A400">
        <v>656</v>
      </c>
      <c r="B400" t="s">
        <v>1076</v>
      </c>
      <c r="C400" t="s">
        <v>67</v>
      </c>
      <c r="D400">
        <v>2007</v>
      </c>
      <c r="E400" s="1">
        <v>39399</v>
      </c>
      <c r="F400" t="s">
        <v>23</v>
      </c>
      <c r="G400" s="2">
        <v>10927695.27</v>
      </c>
      <c r="H400" s="2">
        <v>5577298.75</v>
      </c>
      <c r="I400" s="2">
        <v>10927695.27</v>
      </c>
      <c r="J400" s="2">
        <v>972435.18</v>
      </c>
      <c r="K400" s="2">
        <v>2342228.5499999998</v>
      </c>
      <c r="L400">
        <v>5.0999999999999996</v>
      </c>
      <c r="M400">
        <v>53</v>
      </c>
      <c r="N400">
        <v>6158</v>
      </c>
      <c r="O400">
        <v>92</v>
      </c>
      <c r="P400" t="s">
        <v>52</v>
      </c>
      <c r="Q400" t="s">
        <v>364</v>
      </c>
      <c r="R400" s="2">
        <f>Table1[[#This Row],[Global_BoxOfficeUSD]]-Table1[[#This Row],[BudgetUSD]]</f>
        <v>0</v>
      </c>
      <c r="S400" s="15">
        <f>Table1[[#This Row],[Profit]]/Table1[[#This Row],[BudgetUSD]]</f>
        <v>0</v>
      </c>
      <c r="T400" t="str">
        <f>IF(Table1[[#This Row],[ROI]]&gt;100%,"Hit","Flop")</f>
        <v>Flop</v>
      </c>
    </row>
    <row r="401" spans="1:20" x14ac:dyDescent="0.3">
      <c r="A401">
        <v>769</v>
      </c>
      <c r="B401" t="s">
        <v>1192</v>
      </c>
      <c r="C401" t="s">
        <v>86</v>
      </c>
      <c r="D401">
        <v>2010</v>
      </c>
      <c r="E401" s="1">
        <v>40420</v>
      </c>
      <c r="F401" t="s">
        <v>23</v>
      </c>
      <c r="G401" s="2">
        <v>2723115.03</v>
      </c>
      <c r="H401" s="2">
        <v>7227520.8200000003</v>
      </c>
      <c r="I401" s="2">
        <v>10883046.75</v>
      </c>
      <c r="J401" s="2">
        <v>1652579.83</v>
      </c>
      <c r="K401" s="2">
        <v>4026286.62</v>
      </c>
      <c r="L401">
        <v>7</v>
      </c>
      <c r="M401">
        <v>93</v>
      </c>
      <c r="N401">
        <v>492</v>
      </c>
      <c r="O401">
        <v>295</v>
      </c>
      <c r="P401" t="s">
        <v>246</v>
      </c>
      <c r="Q401" t="s">
        <v>28</v>
      </c>
      <c r="R401" s="2">
        <f>Table1[[#This Row],[Global_BoxOfficeUSD]]-Table1[[#This Row],[BudgetUSD]]</f>
        <v>8159931.7200000007</v>
      </c>
      <c r="S401" s="15">
        <f>Table1[[#This Row],[Profit]]/Table1[[#This Row],[BudgetUSD]]</f>
        <v>2.9965431610871032</v>
      </c>
      <c r="T401" t="str">
        <f>IF(Table1[[#This Row],[ROI]]&gt;100%,"Hit","Flop")</f>
        <v>Hit</v>
      </c>
    </row>
    <row r="402" spans="1:20" x14ac:dyDescent="0.3">
      <c r="A402">
        <v>317</v>
      </c>
      <c r="B402" t="s">
        <v>663</v>
      </c>
      <c r="C402" t="s">
        <v>107</v>
      </c>
      <c r="D402">
        <v>1988</v>
      </c>
      <c r="E402" s="1">
        <v>32264</v>
      </c>
      <c r="F402" t="s">
        <v>23</v>
      </c>
      <c r="G402" s="2">
        <v>10839239.810000001</v>
      </c>
      <c r="H402" s="2">
        <v>4656018.0599999996</v>
      </c>
      <c r="I402" s="2">
        <v>10839239.810000001</v>
      </c>
      <c r="J402" s="2">
        <v>1370339.18</v>
      </c>
      <c r="K402" s="2">
        <v>2664977.7400000002</v>
      </c>
      <c r="L402">
        <v>8.4</v>
      </c>
      <c r="M402">
        <v>91</v>
      </c>
      <c r="N402">
        <v>6379</v>
      </c>
      <c r="O402">
        <v>313</v>
      </c>
      <c r="P402" t="s">
        <v>184</v>
      </c>
      <c r="Q402" t="s">
        <v>664</v>
      </c>
      <c r="R402" s="2">
        <f>Table1[[#This Row],[Global_BoxOfficeUSD]]-Table1[[#This Row],[BudgetUSD]]</f>
        <v>0</v>
      </c>
      <c r="S402" s="15">
        <f>Table1[[#This Row],[Profit]]/Table1[[#This Row],[BudgetUSD]]</f>
        <v>0</v>
      </c>
      <c r="T402" t="str">
        <f>IF(Table1[[#This Row],[ROI]]&gt;100%,"Hit","Flop")</f>
        <v>Flop</v>
      </c>
    </row>
    <row r="403" spans="1:20" x14ac:dyDescent="0.3">
      <c r="A403">
        <v>746</v>
      </c>
      <c r="B403" t="s">
        <v>1165</v>
      </c>
      <c r="C403" t="s">
        <v>77</v>
      </c>
      <c r="D403">
        <v>2011</v>
      </c>
      <c r="E403" s="1">
        <v>40659</v>
      </c>
      <c r="F403" t="s">
        <v>642</v>
      </c>
      <c r="G403" s="2">
        <v>2376142.35</v>
      </c>
      <c r="H403" s="2">
        <v>4798929.4800000004</v>
      </c>
      <c r="I403" s="2">
        <v>10799123.279999999</v>
      </c>
      <c r="J403" s="2">
        <v>902043.38</v>
      </c>
      <c r="K403" s="2">
        <v>1952446.86</v>
      </c>
      <c r="L403">
        <v>5.8</v>
      </c>
      <c r="M403">
        <v>63</v>
      </c>
      <c r="N403">
        <v>7254</v>
      </c>
      <c r="O403">
        <v>515</v>
      </c>
      <c r="P403" t="s">
        <v>136</v>
      </c>
      <c r="Q403" t="s">
        <v>754</v>
      </c>
      <c r="R403" s="2">
        <f>Table1[[#This Row],[Global_BoxOfficeUSD]]-Table1[[#This Row],[BudgetUSD]]</f>
        <v>8422980.9299999997</v>
      </c>
      <c r="S403" s="15">
        <f>Table1[[#This Row],[Profit]]/Table1[[#This Row],[BudgetUSD]]</f>
        <v>3.54481326844749</v>
      </c>
      <c r="T403" t="str">
        <f>IF(Table1[[#This Row],[ROI]]&gt;100%,"Hit","Flop")</f>
        <v>Hit</v>
      </c>
    </row>
    <row r="404" spans="1:20" x14ac:dyDescent="0.3">
      <c r="A404">
        <v>356</v>
      </c>
      <c r="B404" t="s">
        <v>713</v>
      </c>
      <c r="C404" t="s">
        <v>38</v>
      </c>
      <c r="D404">
        <v>2022</v>
      </c>
      <c r="E404" s="1">
        <v>44724</v>
      </c>
      <c r="F404" t="s">
        <v>34</v>
      </c>
      <c r="G404" s="2">
        <v>8769325.9700000007</v>
      </c>
      <c r="H404" s="2">
        <v>5988786.4400000004</v>
      </c>
      <c r="I404" s="2">
        <v>10628087.949999999</v>
      </c>
      <c r="J404" s="2">
        <v>1422195.84</v>
      </c>
      <c r="K404" s="2">
        <v>3370694.04</v>
      </c>
      <c r="L404">
        <v>6.6</v>
      </c>
      <c r="M404">
        <v>57</v>
      </c>
      <c r="N404">
        <v>3769</v>
      </c>
      <c r="O404">
        <v>125</v>
      </c>
      <c r="P404" t="s">
        <v>108</v>
      </c>
      <c r="Q404" t="s">
        <v>389</v>
      </c>
      <c r="R404" s="2">
        <f>Table1[[#This Row],[Global_BoxOfficeUSD]]-Table1[[#This Row],[BudgetUSD]]</f>
        <v>1858761.9799999986</v>
      </c>
      <c r="S404" s="15">
        <f>Table1[[#This Row],[Profit]]/Table1[[#This Row],[BudgetUSD]]</f>
        <v>0.21196178433312343</v>
      </c>
      <c r="T404" t="str">
        <f>IF(Table1[[#This Row],[ROI]]&gt;100%,"Hit","Flop")</f>
        <v>Flop</v>
      </c>
    </row>
    <row r="405" spans="1:20" x14ac:dyDescent="0.3">
      <c r="A405">
        <v>434</v>
      </c>
      <c r="B405" t="s">
        <v>818</v>
      </c>
      <c r="C405" t="s">
        <v>18</v>
      </c>
      <c r="D405">
        <v>2003</v>
      </c>
      <c r="E405" s="1">
        <v>37739</v>
      </c>
      <c r="F405" t="s">
        <v>23</v>
      </c>
      <c r="G405" s="2">
        <v>10626342.859999999</v>
      </c>
      <c r="H405" s="2">
        <v>6300075.3899999997</v>
      </c>
      <c r="I405" s="2">
        <v>10626342.859999999</v>
      </c>
      <c r="J405" s="2">
        <v>1496251.63</v>
      </c>
      <c r="K405" s="2">
        <v>3112057.38</v>
      </c>
      <c r="L405">
        <v>9.6999999999999993</v>
      </c>
      <c r="M405">
        <v>86</v>
      </c>
      <c r="N405">
        <v>5089</v>
      </c>
      <c r="O405">
        <v>50</v>
      </c>
      <c r="P405" t="s">
        <v>260</v>
      </c>
      <c r="Q405" t="s">
        <v>819</v>
      </c>
      <c r="R405" s="2">
        <f>Table1[[#This Row],[Global_BoxOfficeUSD]]-Table1[[#This Row],[BudgetUSD]]</f>
        <v>0</v>
      </c>
      <c r="S405" s="15">
        <f>Table1[[#This Row],[Profit]]/Table1[[#This Row],[BudgetUSD]]</f>
        <v>0</v>
      </c>
      <c r="T405" t="str">
        <f>IF(Table1[[#This Row],[ROI]]&gt;100%,"Hit","Flop")</f>
        <v>Flop</v>
      </c>
    </row>
    <row r="406" spans="1:20" x14ac:dyDescent="0.3">
      <c r="A406">
        <v>761</v>
      </c>
      <c r="B406" t="s">
        <v>1182</v>
      </c>
      <c r="C406" t="s">
        <v>18</v>
      </c>
      <c r="D406">
        <v>1964</v>
      </c>
      <c r="E406" s="1">
        <v>23380</v>
      </c>
      <c r="F406" t="s">
        <v>23</v>
      </c>
      <c r="G406" s="2">
        <v>4422743.3099999996</v>
      </c>
      <c r="H406" s="2">
        <v>4908633.4800000004</v>
      </c>
      <c r="I406" s="2">
        <v>10500640.65</v>
      </c>
      <c r="J406" s="2">
        <v>830937.64</v>
      </c>
      <c r="K406" s="2">
        <v>2831366.13</v>
      </c>
      <c r="L406">
        <v>6.6</v>
      </c>
      <c r="M406">
        <v>59</v>
      </c>
      <c r="N406">
        <v>1712</v>
      </c>
      <c r="O406">
        <v>1302</v>
      </c>
      <c r="P406" t="s">
        <v>385</v>
      </c>
      <c r="Q406" t="s">
        <v>664</v>
      </c>
      <c r="R406" s="2">
        <f>Table1[[#This Row],[Global_BoxOfficeUSD]]-Table1[[#This Row],[BudgetUSD]]</f>
        <v>6077897.3400000008</v>
      </c>
      <c r="S406" s="15">
        <f>Table1[[#This Row],[Profit]]/Table1[[#This Row],[BudgetUSD]]</f>
        <v>1.3742369642519456</v>
      </c>
      <c r="T406" t="str">
        <f>IF(Table1[[#This Row],[ROI]]&gt;100%,"Hit","Flop")</f>
        <v>Hit</v>
      </c>
    </row>
    <row r="407" spans="1:20" x14ac:dyDescent="0.3">
      <c r="A407">
        <v>852</v>
      </c>
      <c r="B407" t="s">
        <v>1269</v>
      </c>
      <c r="C407" t="s">
        <v>77</v>
      </c>
      <c r="D407">
        <v>1997</v>
      </c>
      <c r="E407" s="1">
        <v>35688</v>
      </c>
      <c r="F407" t="s">
        <v>23</v>
      </c>
      <c r="G407" s="2">
        <v>3661457.83</v>
      </c>
      <c r="H407" s="2">
        <v>5357486.3499999996</v>
      </c>
      <c r="I407" s="2">
        <v>10425053.91</v>
      </c>
      <c r="J407" s="2">
        <v>1241051.6399999999</v>
      </c>
      <c r="K407" s="2">
        <v>2504044.71</v>
      </c>
      <c r="L407">
        <v>4.0999999999999996</v>
      </c>
      <c r="M407">
        <v>50</v>
      </c>
      <c r="N407">
        <v>4136</v>
      </c>
      <c r="O407">
        <v>374</v>
      </c>
      <c r="P407" t="s">
        <v>500</v>
      </c>
      <c r="Q407" t="s">
        <v>340</v>
      </c>
      <c r="R407" s="2">
        <f>Table1[[#This Row],[Global_BoxOfficeUSD]]-Table1[[#This Row],[BudgetUSD]]</f>
        <v>6763596.0800000001</v>
      </c>
      <c r="S407" s="15">
        <f>Table1[[#This Row],[Profit]]/Table1[[#This Row],[BudgetUSD]]</f>
        <v>1.8472412885880485</v>
      </c>
      <c r="T407" t="str">
        <f>IF(Table1[[#This Row],[ROI]]&gt;100%,"Hit","Flop")</f>
        <v>Hit</v>
      </c>
    </row>
    <row r="408" spans="1:20" x14ac:dyDescent="0.3">
      <c r="A408">
        <v>212</v>
      </c>
      <c r="B408" t="s">
        <v>510</v>
      </c>
      <c r="C408" t="s">
        <v>45</v>
      </c>
      <c r="D408">
        <v>2011</v>
      </c>
      <c r="E408" s="1">
        <v>40900</v>
      </c>
      <c r="F408" t="s">
        <v>249</v>
      </c>
      <c r="G408" s="2">
        <v>3106786.92</v>
      </c>
      <c r="H408" s="2">
        <v>4518252.33</v>
      </c>
      <c r="I408" s="2">
        <v>10388913.42</v>
      </c>
      <c r="J408" s="2">
        <v>1127606.9099999999</v>
      </c>
      <c r="K408" s="2">
        <v>2580015.1</v>
      </c>
      <c r="L408">
        <v>7.7</v>
      </c>
      <c r="M408">
        <v>62</v>
      </c>
      <c r="N408">
        <v>6303</v>
      </c>
      <c r="O408">
        <v>4555</v>
      </c>
      <c r="P408" t="s">
        <v>64</v>
      </c>
      <c r="Q408" t="s">
        <v>455</v>
      </c>
      <c r="R408" s="2">
        <f>Table1[[#This Row],[Global_BoxOfficeUSD]]-Table1[[#This Row],[BudgetUSD]]</f>
        <v>7282126.5</v>
      </c>
      <c r="S408" s="15">
        <f>Table1[[#This Row],[Profit]]/Table1[[#This Row],[BudgetUSD]]</f>
        <v>2.3439414055470533</v>
      </c>
      <c r="T408" t="str">
        <f>IF(Table1[[#This Row],[ROI]]&gt;100%,"Hit","Flop")</f>
        <v>Hit</v>
      </c>
    </row>
    <row r="409" spans="1:20" x14ac:dyDescent="0.3">
      <c r="A409">
        <v>532</v>
      </c>
      <c r="B409" t="s">
        <v>940</v>
      </c>
      <c r="C409" t="s">
        <v>45</v>
      </c>
      <c r="D409">
        <v>2009</v>
      </c>
      <c r="E409" s="1">
        <v>39824</v>
      </c>
      <c r="F409" t="s">
        <v>23</v>
      </c>
      <c r="G409" s="2">
        <v>5180857.83</v>
      </c>
      <c r="H409" s="2">
        <v>4979629.49</v>
      </c>
      <c r="I409" s="2">
        <v>10361838.050000001</v>
      </c>
      <c r="J409" s="2">
        <v>1406940.8</v>
      </c>
      <c r="K409" s="2">
        <v>2023678.77</v>
      </c>
      <c r="L409">
        <v>5.4</v>
      </c>
      <c r="M409">
        <v>40</v>
      </c>
      <c r="N409">
        <v>141</v>
      </c>
      <c r="O409">
        <v>50</v>
      </c>
      <c r="P409" t="s">
        <v>280</v>
      </c>
      <c r="Q409" t="s">
        <v>537</v>
      </c>
      <c r="R409" s="2">
        <f>Table1[[#This Row],[Global_BoxOfficeUSD]]-Table1[[#This Row],[BudgetUSD]]</f>
        <v>5180980.2200000007</v>
      </c>
      <c r="S409" s="15">
        <f>Table1[[#This Row],[Profit]]/Table1[[#This Row],[BudgetUSD]]</f>
        <v>1.0000236235009754</v>
      </c>
      <c r="T409" t="str">
        <f>IF(Table1[[#This Row],[ROI]]&gt;100%,"Hit","Flop")</f>
        <v>Hit</v>
      </c>
    </row>
    <row r="410" spans="1:20" x14ac:dyDescent="0.3">
      <c r="A410">
        <v>573</v>
      </c>
      <c r="B410" t="s">
        <v>986</v>
      </c>
      <c r="C410" t="s">
        <v>86</v>
      </c>
      <c r="D410">
        <v>1990</v>
      </c>
      <c r="E410" s="1">
        <v>33101</v>
      </c>
      <c r="F410" t="s">
        <v>34</v>
      </c>
      <c r="G410" s="2">
        <v>2477172.7999999998</v>
      </c>
      <c r="H410" s="2">
        <v>4860933.4400000004</v>
      </c>
      <c r="I410" s="2">
        <v>10336200.25</v>
      </c>
      <c r="J410" s="2">
        <v>1292237.76</v>
      </c>
      <c r="K410" s="2">
        <v>2012203.81</v>
      </c>
      <c r="L410">
        <v>6.8</v>
      </c>
      <c r="M410">
        <v>89</v>
      </c>
      <c r="N410">
        <v>4289</v>
      </c>
      <c r="O410">
        <v>96</v>
      </c>
      <c r="P410" t="s">
        <v>606</v>
      </c>
      <c r="Q410" t="s">
        <v>987</v>
      </c>
      <c r="R410" s="2">
        <f>Table1[[#This Row],[Global_BoxOfficeUSD]]-Table1[[#This Row],[BudgetUSD]]</f>
        <v>7859027.4500000002</v>
      </c>
      <c r="S410" s="15">
        <f>Table1[[#This Row],[Profit]]/Table1[[#This Row],[BudgetUSD]]</f>
        <v>3.1725794219926851</v>
      </c>
      <c r="T410" t="str">
        <f>IF(Table1[[#This Row],[ROI]]&gt;100%,"Hit","Flop")</f>
        <v>Hit</v>
      </c>
    </row>
    <row r="411" spans="1:20" x14ac:dyDescent="0.3">
      <c r="A411">
        <v>32</v>
      </c>
      <c r="B411" t="s">
        <v>116</v>
      </c>
      <c r="C411" t="s">
        <v>67</v>
      </c>
      <c r="D411">
        <v>2019</v>
      </c>
      <c r="E411" s="1">
        <v>43769</v>
      </c>
      <c r="F411" t="s">
        <v>23</v>
      </c>
      <c r="G411" s="2">
        <v>3913191.11</v>
      </c>
      <c r="H411" s="2">
        <v>6878105.9299999997</v>
      </c>
      <c r="I411" s="2">
        <v>10333332.029999999</v>
      </c>
      <c r="J411" s="2">
        <v>2057699.07</v>
      </c>
      <c r="K411" s="2">
        <v>3295543.01</v>
      </c>
      <c r="L411">
        <v>5.5</v>
      </c>
      <c r="M411">
        <v>63</v>
      </c>
      <c r="N411">
        <v>2201</v>
      </c>
      <c r="O411">
        <v>1023</v>
      </c>
      <c r="P411" t="s">
        <v>117</v>
      </c>
      <c r="Q411" t="s">
        <v>118</v>
      </c>
      <c r="R411" s="2">
        <f>Table1[[#This Row],[Global_BoxOfficeUSD]]-Table1[[#This Row],[BudgetUSD]]</f>
        <v>6420140.9199999999</v>
      </c>
      <c r="S411" s="15">
        <f>Table1[[#This Row],[Profit]]/Table1[[#This Row],[BudgetUSD]]</f>
        <v>1.6406407812778661</v>
      </c>
      <c r="T411" t="str">
        <f>IF(Table1[[#This Row],[ROI]]&gt;100%,"Hit","Flop")</f>
        <v>Hit</v>
      </c>
    </row>
    <row r="412" spans="1:20" x14ac:dyDescent="0.3">
      <c r="A412">
        <v>795</v>
      </c>
      <c r="B412" t="s">
        <v>1215</v>
      </c>
      <c r="C412" t="s">
        <v>67</v>
      </c>
      <c r="D412">
        <v>2020</v>
      </c>
      <c r="E412" s="1">
        <v>44149</v>
      </c>
      <c r="F412" t="s">
        <v>23</v>
      </c>
      <c r="G412" s="2">
        <v>2133437.19</v>
      </c>
      <c r="H412" s="2">
        <v>5122279.8899999997</v>
      </c>
      <c r="I412" s="2">
        <v>10310722.960000001</v>
      </c>
      <c r="J412" s="2">
        <v>1073479.46</v>
      </c>
      <c r="K412" s="2">
        <v>2798976.65</v>
      </c>
      <c r="L412">
        <v>6.9</v>
      </c>
      <c r="M412">
        <v>73</v>
      </c>
      <c r="N412">
        <v>5868</v>
      </c>
      <c r="O412">
        <v>10864</v>
      </c>
      <c r="P412" t="s">
        <v>219</v>
      </c>
      <c r="Q412" t="s">
        <v>819</v>
      </c>
      <c r="R412" s="2">
        <f>Table1[[#This Row],[Global_BoxOfficeUSD]]-Table1[[#This Row],[BudgetUSD]]</f>
        <v>8177285.7700000014</v>
      </c>
      <c r="S412" s="15">
        <f>Table1[[#This Row],[Profit]]/Table1[[#This Row],[BudgetUSD]]</f>
        <v>3.8329161075513087</v>
      </c>
      <c r="T412" t="str">
        <f>IF(Table1[[#This Row],[ROI]]&gt;100%,"Hit","Flop")</f>
        <v>Hit</v>
      </c>
    </row>
    <row r="413" spans="1:20" x14ac:dyDescent="0.3">
      <c r="A413">
        <v>669</v>
      </c>
      <c r="B413" t="s">
        <v>1090</v>
      </c>
      <c r="C413" t="s">
        <v>67</v>
      </c>
      <c r="D413">
        <v>2023</v>
      </c>
      <c r="E413" s="1">
        <v>45234</v>
      </c>
      <c r="F413" t="s">
        <v>23</v>
      </c>
      <c r="G413" s="2">
        <v>2470072.5099999998</v>
      </c>
      <c r="H413" s="2">
        <v>6368072.75</v>
      </c>
      <c r="I413" s="2">
        <v>10247850.199999999</v>
      </c>
      <c r="J413" s="2">
        <v>1812769.63</v>
      </c>
      <c r="K413" s="2">
        <v>3258591.94</v>
      </c>
      <c r="L413">
        <v>5.4</v>
      </c>
      <c r="M413">
        <v>62</v>
      </c>
      <c r="N413">
        <v>1218</v>
      </c>
      <c r="O413">
        <v>624</v>
      </c>
      <c r="P413" t="s">
        <v>237</v>
      </c>
      <c r="Q413" t="s">
        <v>238</v>
      </c>
      <c r="R413" s="2">
        <f>Table1[[#This Row],[Global_BoxOfficeUSD]]-Table1[[#This Row],[BudgetUSD]]</f>
        <v>7777777.6899999995</v>
      </c>
      <c r="S413" s="15">
        <f>Table1[[#This Row],[Profit]]/Table1[[#This Row],[BudgetUSD]]</f>
        <v>3.1488054130038474</v>
      </c>
      <c r="T413" t="str">
        <f>IF(Table1[[#This Row],[ROI]]&gt;100%,"Hit","Flop")</f>
        <v>Hit</v>
      </c>
    </row>
    <row r="414" spans="1:20" x14ac:dyDescent="0.3">
      <c r="A414">
        <v>486</v>
      </c>
      <c r="B414" t="s">
        <v>886</v>
      </c>
      <c r="C414" t="s">
        <v>18</v>
      </c>
      <c r="D414">
        <v>1969</v>
      </c>
      <c r="E414" s="1">
        <v>25282</v>
      </c>
      <c r="F414" t="s">
        <v>152</v>
      </c>
      <c r="G414" s="2">
        <v>3896040.29</v>
      </c>
      <c r="H414" s="2">
        <v>4941869.51</v>
      </c>
      <c r="I414" s="2">
        <v>10190618.4</v>
      </c>
      <c r="J414" s="2">
        <v>750783.66</v>
      </c>
      <c r="K414" s="2">
        <v>2632214.7200000002</v>
      </c>
      <c r="L414">
        <v>6.3</v>
      </c>
      <c r="M414">
        <v>54</v>
      </c>
      <c r="N414">
        <v>157</v>
      </c>
      <c r="O414">
        <v>50</v>
      </c>
      <c r="P414" t="s">
        <v>782</v>
      </c>
      <c r="Q414" t="s">
        <v>887</v>
      </c>
      <c r="R414" s="2">
        <f>Table1[[#This Row],[Global_BoxOfficeUSD]]-Table1[[#This Row],[BudgetUSD]]</f>
        <v>6294578.1100000003</v>
      </c>
      <c r="S414" s="15">
        <f>Table1[[#This Row],[Profit]]/Table1[[#This Row],[BudgetUSD]]</f>
        <v>1.6156347577196128</v>
      </c>
      <c r="T414" t="str">
        <f>IF(Table1[[#This Row],[ROI]]&gt;100%,"Hit","Flop")</f>
        <v>Hit</v>
      </c>
    </row>
    <row r="415" spans="1:20" x14ac:dyDescent="0.3">
      <c r="A415">
        <v>536</v>
      </c>
      <c r="B415" t="s">
        <v>945</v>
      </c>
      <c r="C415" t="s">
        <v>86</v>
      </c>
      <c r="D415">
        <v>2011</v>
      </c>
      <c r="E415" s="1">
        <v>40612</v>
      </c>
      <c r="F415" t="s">
        <v>23</v>
      </c>
      <c r="G415" s="2">
        <v>3607165.31</v>
      </c>
      <c r="H415" s="2">
        <v>5067609.1100000003</v>
      </c>
      <c r="I415" s="2">
        <v>10156050.91</v>
      </c>
      <c r="J415" s="2">
        <v>1113919.02</v>
      </c>
      <c r="K415" s="2">
        <v>2181123.71</v>
      </c>
      <c r="L415">
        <v>6.1</v>
      </c>
      <c r="M415">
        <v>69</v>
      </c>
      <c r="N415">
        <v>15133</v>
      </c>
      <c r="O415">
        <v>98</v>
      </c>
      <c r="P415" t="s">
        <v>453</v>
      </c>
      <c r="Q415" t="s">
        <v>193</v>
      </c>
      <c r="R415" s="2">
        <f>Table1[[#This Row],[Global_BoxOfficeUSD]]-Table1[[#This Row],[BudgetUSD]]</f>
        <v>6548885.5999999996</v>
      </c>
      <c r="S415" s="15">
        <f>Table1[[#This Row],[Profit]]/Table1[[#This Row],[BudgetUSD]]</f>
        <v>1.8155213407727075</v>
      </c>
      <c r="T415" t="str">
        <f>IF(Table1[[#This Row],[ROI]]&gt;100%,"Hit","Flop")</f>
        <v>Hit</v>
      </c>
    </row>
    <row r="416" spans="1:20" x14ac:dyDescent="0.3">
      <c r="A416">
        <v>661</v>
      </c>
      <c r="B416" t="s">
        <v>1081</v>
      </c>
      <c r="C416" t="s">
        <v>38</v>
      </c>
      <c r="D416">
        <v>1979</v>
      </c>
      <c r="E416" s="1">
        <v>28974</v>
      </c>
      <c r="F416" t="s">
        <v>23</v>
      </c>
      <c r="G416" s="2">
        <v>10138191.449999999</v>
      </c>
      <c r="H416" s="2">
        <v>5406550.5099999998</v>
      </c>
      <c r="I416" s="2">
        <v>10138191.449999999</v>
      </c>
      <c r="J416" s="2">
        <v>1478373.8</v>
      </c>
      <c r="K416" s="2">
        <v>2707531.34</v>
      </c>
      <c r="L416">
        <v>5.6</v>
      </c>
      <c r="M416">
        <v>52</v>
      </c>
      <c r="N416">
        <v>10895</v>
      </c>
      <c r="O416">
        <v>690</v>
      </c>
      <c r="P416" t="s">
        <v>164</v>
      </c>
      <c r="Q416" t="s">
        <v>1082</v>
      </c>
      <c r="R416" s="2">
        <f>Table1[[#This Row],[Global_BoxOfficeUSD]]-Table1[[#This Row],[BudgetUSD]]</f>
        <v>0</v>
      </c>
      <c r="S416" s="15">
        <f>Table1[[#This Row],[Profit]]/Table1[[#This Row],[BudgetUSD]]</f>
        <v>0</v>
      </c>
      <c r="T416" t="str">
        <f>IF(Table1[[#This Row],[ROI]]&gt;100%,"Hit","Flop")</f>
        <v>Flop</v>
      </c>
    </row>
    <row r="417" spans="1:20" x14ac:dyDescent="0.3">
      <c r="A417">
        <v>913</v>
      </c>
      <c r="B417" t="s">
        <v>1323</v>
      </c>
      <c r="C417" t="s">
        <v>45</v>
      </c>
      <c r="D417">
        <v>2013</v>
      </c>
      <c r="E417" s="1">
        <v>41537</v>
      </c>
      <c r="F417" t="s">
        <v>23</v>
      </c>
      <c r="G417" s="2">
        <v>5490832.6200000001</v>
      </c>
      <c r="H417" s="2">
        <v>5438810.1399999997</v>
      </c>
      <c r="I417" s="2">
        <v>10124184.27</v>
      </c>
      <c r="J417" s="2">
        <v>1269991.6100000001</v>
      </c>
      <c r="K417" s="2">
        <v>2560308.83</v>
      </c>
      <c r="L417">
        <v>6.9</v>
      </c>
      <c r="M417">
        <v>59</v>
      </c>
      <c r="N417">
        <v>2192</v>
      </c>
      <c r="O417">
        <v>1915</v>
      </c>
      <c r="P417" t="s">
        <v>541</v>
      </c>
      <c r="Q417" t="s">
        <v>21</v>
      </c>
      <c r="R417" s="2">
        <f>Table1[[#This Row],[Global_BoxOfficeUSD]]-Table1[[#This Row],[BudgetUSD]]</f>
        <v>4633351.6499999994</v>
      </c>
      <c r="S417" s="15">
        <f>Table1[[#This Row],[Profit]]/Table1[[#This Row],[BudgetUSD]]</f>
        <v>0.8438340722904788</v>
      </c>
      <c r="T417" t="str">
        <f>IF(Table1[[#This Row],[ROI]]&gt;100%,"Hit","Flop")</f>
        <v>Flop</v>
      </c>
    </row>
    <row r="418" spans="1:20" x14ac:dyDescent="0.3">
      <c r="A418">
        <v>709</v>
      </c>
      <c r="B418" t="s">
        <v>1128</v>
      </c>
      <c r="C418" t="s">
        <v>67</v>
      </c>
      <c r="D418">
        <v>1990</v>
      </c>
      <c r="E418" s="1">
        <v>32985</v>
      </c>
      <c r="F418" t="s">
        <v>267</v>
      </c>
      <c r="G418" s="2">
        <v>5051300.3</v>
      </c>
      <c r="H418" s="2">
        <v>6786158.2400000002</v>
      </c>
      <c r="I418" s="2">
        <v>10092420.34</v>
      </c>
      <c r="J418" s="2">
        <v>863483.59</v>
      </c>
      <c r="K418" s="2">
        <v>2907234.32</v>
      </c>
      <c r="L418">
        <v>9.1</v>
      </c>
      <c r="M418">
        <v>97</v>
      </c>
      <c r="N418">
        <v>17301</v>
      </c>
      <c r="O418">
        <v>834</v>
      </c>
      <c r="P418" t="s">
        <v>212</v>
      </c>
      <c r="Q418" t="s">
        <v>428</v>
      </c>
      <c r="R418" s="2">
        <f>Table1[[#This Row],[Global_BoxOfficeUSD]]-Table1[[#This Row],[BudgetUSD]]</f>
        <v>5041120.04</v>
      </c>
      <c r="S418" s="15">
        <f>Table1[[#This Row],[Profit]]/Table1[[#This Row],[BudgetUSD]]</f>
        <v>0.99798462585960301</v>
      </c>
      <c r="T418" t="str">
        <f>IF(Table1[[#This Row],[ROI]]&gt;100%,"Hit","Flop")</f>
        <v>Flop</v>
      </c>
    </row>
    <row r="419" spans="1:20" x14ac:dyDescent="0.3">
      <c r="A419">
        <v>95</v>
      </c>
      <c r="B419" t="s">
        <v>276</v>
      </c>
      <c r="C419" t="s">
        <v>67</v>
      </c>
      <c r="D419">
        <v>2008</v>
      </c>
      <c r="E419" s="1">
        <v>39594</v>
      </c>
      <c r="F419" t="s">
        <v>23</v>
      </c>
      <c r="G419" s="2">
        <v>9056097.6799999997</v>
      </c>
      <c r="H419" s="2">
        <v>4812542.41</v>
      </c>
      <c r="I419" s="2">
        <v>10090058.539999999</v>
      </c>
      <c r="J419" s="2">
        <v>1311157.44</v>
      </c>
      <c r="K419" s="2">
        <v>2379285.37</v>
      </c>
      <c r="L419">
        <v>4.5</v>
      </c>
      <c r="M419">
        <v>44</v>
      </c>
      <c r="N419">
        <v>64113</v>
      </c>
      <c r="O419">
        <v>77</v>
      </c>
      <c r="P419" t="s">
        <v>277</v>
      </c>
      <c r="Q419" t="s">
        <v>278</v>
      </c>
      <c r="R419" s="2">
        <f>Table1[[#This Row],[Global_BoxOfficeUSD]]-Table1[[#This Row],[BudgetUSD]]</f>
        <v>1033960.8599999994</v>
      </c>
      <c r="S419" s="15">
        <f>Table1[[#This Row],[Profit]]/Table1[[#This Row],[BudgetUSD]]</f>
        <v>0.11417289173939205</v>
      </c>
      <c r="T419" t="str">
        <f>IF(Table1[[#This Row],[ROI]]&gt;100%,"Hit","Flop")</f>
        <v>Flop</v>
      </c>
    </row>
    <row r="420" spans="1:20" x14ac:dyDescent="0.3">
      <c r="A420">
        <v>638</v>
      </c>
      <c r="B420" t="s">
        <v>1057</v>
      </c>
      <c r="C420" t="s">
        <v>107</v>
      </c>
      <c r="D420">
        <v>2002</v>
      </c>
      <c r="E420" s="1">
        <v>37461</v>
      </c>
      <c r="F420" t="s">
        <v>23</v>
      </c>
      <c r="G420" s="2">
        <v>10047835.060000001</v>
      </c>
      <c r="H420" s="2">
        <v>5493465.2999999998</v>
      </c>
      <c r="I420" s="2">
        <v>10047835.060000001</v>
      </c>
      <c r="J420" s="2">
        <v>1404729.74</v>
      </c>
      <c r="K420" s="2">
        <v>3275582.56</v>
      </c>
      <c r="L420">
        <v>8.3000000000000007</v>
      </c>
      <c r="M420">
        <v>73</v>
      </c>
      <c r="N420">
        <v>5190</v>
      </c>
      <c r="O420">
        <v>621</v>
      </c>
      <c r="P420" t="s">
        <v>140</v>
      </c>
      <c r="Q420" t="s">
        <v>766</v>
      </c>
      <c r="R420" s="2">
        <f>Table1[[#This Row],[Global_BoxOfficeUSD]]-Table1[[#This Row],[BudgetUSD]]</f>
        <v>0</v>
      </c>
      <c r="S420" s="15">
        <f>Table1[[#This Row],[Profit]]/Table1[[#This Row],[BudgetUSD]]</f>
        <v>0</v>
      </c>
      <c r="T420" t="str">
        <f>IF(Table1[[#This Row],[ROI]]&gt;100%,"Hit","Flop")</f>
        <v>Flop</v>
      </c>
    </row>
    <row r="421" spans="1:20" x14ac:dyDescent="0.3">
      <c r="A421">
        <v>117</v>
      </c>
      <c r="B421" t="s">
        <v>325</v>
      </c>
      <c r="C421" t="s">
        <v>38</v>
      </c>
      <c r="D421">
        <v>2013</v>
      </c>
      <c r="E421" s="1">
        <v>41441</v>
      </c>
      <c r="F421" t="s">
        <v>23</v>
      </c>
      <c r="G421" s="2">
        <v>4672262.46</v>
      </c>
      <c r="H421" s="2">
        <v>4603358.26</v>
      </c>
      <c r="I421" s="2">
        <v>9992642.3100000005</v>
      </c>
      <c r="J421" s="2">
        <v>905282.69</v>
      </c>
      <c r="K421" s="2">
        <v>2730296.72</v>
      </c>
      <c r="L421">
        <v>7</v>
      </c>
      <c r="M421">
        <v>67</v>
      </c>
      <c r="N421">
        <v>1842</v>
      </c>
      <c r="O421">
        <v>50</v>
      </c>
      <c r="P421" t="s">
        <v>326</v>
      </c>
      <c r="Q421" t="s">
        <v>327</v>
      </c>
      <c r="R421" s="2">
        <f>Table1[[#This Row],[Global_BoxOfficeUSD]]-Table1[[#This Row],[BudgetUSD]]</f>
        <v>5320379.8500000006</v>
      </c>
      <c r="S421" s="15">
        <f>Table1[[#This Row],[Profit]]/Table1[[#This Row],[BudgetUSD]]</f>
        <v>1.1387159637431843</v>
      </c>
      <c r="T421" t="str">
        <f>IF(Table1[[#This Row],[ROI]]&gt;100%,"Hit","Flop")</f>
        <v>Hit</v>
      </c>
    </row>
    <row r="422" spans="1:20" x14ac:dyDescent="0.3">
      <c r="A422">
        <v>562</v>
      </c>
      <c r="B422" t="s">
        <v>974</v>
      </c>
      <c r="C422" t="s">
        <v>67</v>
      </c>
      <c r="D422">
        <v>2023</v>
      </c>
      <c r="E422" s="1">
        <v>44989</v>
      </c>
      <c r="F422" t="s">
        <v>23</v>
      </c>
      <c r="G422" s="2">
        <v>3690495.33</v>
      </c>
      <c r="H422" s="2">
        <v>4828211.76</v>
      </c>
      <c r="I422" s="2">
        <v>9960941.3399999999</v>
      </c>
      <c r="J422" s="2">
        <v>804247.61</v>
      </c>
      <c r="K422" s="2">
        <v>2773484.44</v>
      </c>
      <c r="L422">
        <v>8.1</v>
      </c>
      <c r="M422">
        <v>81</v>
      </c>
      <c r="N422">
        <v>187</v>
      </c>
      <c r="O422">
        <v>3616</v>
      </c>
      <c r="P422" t="s">
        <v>690</v>
      </c>
      <c r="Q422" t="s">
        <v>497</v>
      </c>
      <c r="R422" s="2">
        <f>Table1[[#This Row],[Global_BoxOfficeUSD]]-Table1[[#This Row],[BudgetUSD]]</f>
        <v>6270446.0099999998</v>
      </c>
      <c r="S422" s="15">
        <f>Table1[[#This Row],[Profit]]/Table1[[#This Row],[BudgetUSD]]</f>
        <v>1.6990797845014478</v>
      </c>
      <c r="T422" t="str">
        <f>IF(Table1[[#This Row],[ROI]]&gt;100%,"Hit","Flop")</f>
        <v>Hit</v>
      </c>
    </row>
    <row r="423" spans="1:20" x14ac:dyDescent="0.3">
      <c r="A423">
        <v>517</v>
      </c>
      <c r="B423" t="s">
        <v>925</v>
      </c>
      <c r="C423" t="s">
        <v>38</v>
      </c>
      <c r="D423">
        <v>2021</v>
      </c>
      <c r="E423" s="1">
        <v>44435</v>
      </c>
      <c r="F423" t="s">
        <v>249</v>
      </c>
      <c r="G423" s="2">
        <v>3338677.85</v>
      </c>
      <c r="H423" s="2">
        <v>5959237.7599999998</v>
      </c>
      <c r="I423" s="2">
        <v>9886889.4700000007</v>
      </c>
      <c r="J423" s="2">
        <v>947462.55</v>
      </c>
      <c r="K423" s="2">
        <v>3108041.14</v>
      </c>
      <c r="L423">
        <v>7.5</v>
      </c>
      <c r="M423">
        <v>79</v>
      </c>
      <c r="N423">
        <v>2784</v>
      </c>
      <c r="O423">
        <v>3395</v>
      </c>
      <c r="P423" t="s">
        <v>133</v>
      </c>
      <c r="Q423" t="s">
        <v>412</v>
      </c>
      <c r="R423" s="2">
        <f>Table1[[#This Row],[Global_BoxOfficeUSD]]-Table1[[#This Row],[BudgetUSD]]</f>
        <v>6548211.620000001</v>
      </c>
      <c r="S423" s="15">
        <f>Table1[[#This Row],[Profit]]/Table1[[#This Row],[BudgetUSD]]</f>
        <v>1.961318795702317</v>
      </c>
      <c r="T423" t="str">
        <f>IF(Table1[[#This Row],[ROI]]&gt;100%,"Hit","Flop")</f>
        <v>Hit</v>
      </c>
    </row>
    <row r="424" spans="1:20" x14ac:dyDescent="0.3">
      <c r="A424">
        <v>101</v>
      </c>
      <c r="B424" t="s">
        <v>289</v>
      </c>
      <c r="C424" t="s">
        <v>38</v>
      </c>
      <c r="D424">
        <v>2004</v>
      </c>
      <c r="E424" s="1">
        <v>38271</v>
      </c>
      <c r="F424" t="s">
        <v>139</v>
      </c>
      <c r="G424" s="2">
        <v>7862147.7699999996</v>
      </c>
      <c r="H424" s="2">
        <v>4874513.1500000004</v>
      </c>
      <c r="I424" s="2">
        <v>9802761.9299999997</v>
      </c>
      <c r="J424" s="2">
        <v>1054550.57</v>
      </c>
      <c r="K424" s="2">
        <v>2019570.09</v>
      </c>
      <c r="L424">
        <v>7.7</v>
      </c>
      <c r="M424">
        <v>58</v>
      </c>
      <c r="N424">
        <v>1748</v>
      </c>
      <c r="O424">
        <v>1944</v>
      </c>
      <c r="P424" t="s">
        <v>240</v>
      </c>
      <c r="Q424" t="s">
        <v>290</v>
      </c>
      <c r="R424" s="2">
        <f>Table1[[#This Row],[Global_BoxOfficeUSD]]-Table1[[#This Row],[BudgetUSD]]</f>
        <v>1940614.1600000001</v>
      </c>
      <c r="S424" s="15">
        <f>Table1[[#This Row],[Profit]]/Table1[[#This Row],[BudgetUSD]]</f>
        <v>0.246830028736537</v>
      </c>
      <c r="T424" t="str">
        <f>IF(Table1[[#This Row],[ROI]]&gt;100%,"Hit","Flop")</f>
        <v>Flop</v>
      </c>
    </row>
    <row r="425" spans="1:20" x14ac:dyDescent="0.3">
      <c r="A425">
        <v>85</v>
      </c>
      <c r="B425" t="s">
        <v>254</v>
      </c>
      <c r="C425" t="s">
        <v>33</v>
      </c>
      <c r="D425">
        <v>2025</v>
      </c>
      <c r="E425" s="1">
        <v>45939</v>
      </c>
      <c r="F425" t="s">
        <v>23</v>
      </c>
      <c r="G425" s="2">
        <v>2658315.9500000002</v>
      </c>
      <c r="H425" s="2">
        <v>4121643.99</v>
      </c>
      <c r="I425" s="2">
        <v>9783938.4100000001</v>
      </c>
      <c r="J425" s="2">
        <v>1068694.28</v>
      </c>
      <c r="K425" s="2">
        <v>2442892.7200000002</v>
      </c>
      <c r="L425">
        <v>6</v>
      </c>
      <c r="M425">
        <v>72</v>
      </c>
      <c r="N425">
        <v>1736</v>
      </c>
      <c r="O425">
        <v>854</v>
      </c>
      <c r="P425" t="s">
        <v>74</v>
      </c>
      <c r="Q425" t="s">
        <v>124</v>
      </c>
      <c r="R425" s="2">
        <f>Table1[[#This Row],[Global_BoxOfficeUSD]]-Table1[[#This Row],[BudgetUSD]]</f>
        <v>7125622.46</v>
      </c>
      <c r="S425" s="15">
        <f>Table1[[#This Row],[Profit]]/Table1[[#This Row],[BudgetUSD]]</f>
        <v>2.6805024662324279</v>
      </c>
      <c r="T425" t="str">
        <f>IF(Table1[[#This Row],[ROI]]&gt;100%,"Hit","Flop")</f>
        <v>Hit</v>
      </c>
    </row>
    <row r="426" spans="1:20" x14ac:dyDescent="0.3">
      <c r="A426">
        <v>250</v>
      </c>
      <c r="B426" t="s">
        <v>343</v>
      </c>
      <c r="C426" t="s">
        <v>38</v>
      </c>
      <c r="D426">
        <v>2009</v>
      </c>
      <c r="E426" s="1">
        <v>40111</v>
      </c>
      <c r="F426" t="s">
        <v>23</v>
      </c>
      <c r="G426" s="2">
        <v>9057746.8699999992</v>
      </c>
      <c r="H426" s="2">
        <v>5398517.2000000002</v>
      </c>
      <c r="I426" s="2">
        <v>9767095.1899999995</v>
      </c>
      <c r="J426" s="2">
        <v>923358.5</v>
      </c>
      <c r="K426" s="2">
        <v>2889473.77</v>
      </c>
      <c r="L426">
        <v>8.6</v>
      </c>
      <c r="M426">
        <v>100</v>
      </c>
      <c r="N426">
        <v>1550</v>
      </c>
      <c r="O426">
        <v>2152</v>
      </c>
      <c r="P426" t="s">
        <v>129</v>
      </c>
      <c r="Q426" t="s">
        <v>570</v>
      </c>
      <c r="R426" s="2">
        <f>Table1[[#This Row],[Global_BoxOfficeUSD]]-Table1[[#This Row],[BudgetUSD]]</f>
        <v>709348.3200000003</v>
      </c>
      <c r="S426" s="15">
        <f>Table1[[#This Row],[Profit]]/Table1[[#This Row],[BudgetUSD]]</f>
        <v>7.8313992450972564E-2</v>
      </c>
      <c r="T426" t="str">
        <f>IF(Table1[[#This Row],[ROI]]&gt;100%,"Hit","Flop")</f>
        <v>Flop</v>
      </c>
    </row>
    <row r="427" spans="1:20" x14ac:dyDescent="0.3">
      <c r="A427">
        <v>415</v>
      </c>
      <c r="B427" t="s">
        <v>796</v>
      </c>
      <c r="C427" t="s">
        <v>67</v>
      </c>
      <c r="D427">
        <v>1995</v>
      </c>
      <c r="E427" s="1">
        <v>34950</v>
      </c>
      <c r="F427" t="s">
        <v>267</v>
      </c>
      <c r="G427" s="2">
        <v>2181638.7999999998</v>
      </c>
      <c r="H427" s="2">
        <v>5580666.0700000003</v>
      </c>
      <c r="I427" s="2">
        <v>9723632.3200000003</v>
      </c>
      <c r="J427" s="2">
        <v>1233754.82</v>
      </c>
      <c r="K427" s="2">
        <v>2778011.38</v>
      </c>
      <c r="L427">
        <v>4.2</v>
      </c>
      <c r="M427">
        <v>57</v>
      </c>
      <c r="N427">
        <v>2246</v>
      </c>
      <c r="O427">
        <v>649</v>
      </c>
      <c r="P427" t="s">
        <v>102</v>
      </c>
      <c r="Q427" t="s">
        <v>103</v>
      </c>
      <c r="R427" s="2">
        <f>Table1[[#This Row],[Global_BoxOfficeUSD]]-Table1[[#This Row],[BudgetUSD]]</f>
        <v>7541993.5200000005</v>
      </c>
      <c r="S427" s="15">
        <f>Table1[[#This Row],[Profit]]/Table1[[#This Row],[BudgetUSD]]</f>
        <v>3.4570312555863971</v>
      </c>
      <c r="T427" t="str">
        <f>IF(Table1[[#This Row],[ROI]]&gt;100%,"Hit","Flop")</f>
        <v>Hit</v>
      </c>
    </row>
    <row r="428" spans="1:20" x14ac:dyDescent="0.3">
      <c r="A428">
        <v>839</v>
      </c>
      <c r="B428" t="s">
        <v>1257</v>
      </c>
      <c r="C428" t="s">
        <v>67</v>
      </c>
      <c r="D428">
        <v>1999</v>
      </c>
      <c r="E428" s="1">
        <v>36422</v>
      </c>
      <c r="F428" t="s">
        <v>23</v>
      </c>
      <c r="G428" s="2">
        <v>1953285.44</v>
      </c>
      <c r="H428" s="2">
        <v>5472511</v>
      </c>
      <c r="I428" s="2">
        <v>9722178.4900000002</v>
      </c>
      <c r="J428" s="2">
        <v>1566419.06</v>
      </c>
      <c r="K428" s="2">
        <v>2942106.44</v>
      </c>
      <c r="L428">
        <v>7.3</v>
      </c>
      <c r="M428">
        <v>64</v>
      </c>
      <c r="N428">
        <v>1648</v>
      </c>
      <c r="O428">
        <v>636</v>
      </c>
      <c r="P428" t="s">
        <v>356</v>
      </c>
      <c r="Q428" t="s">
        <v>1024</v>
      </c>
      <c r="R428" s="2">
        <f>Table1[[#This Row],[Global_BoxOfficeUSD]]-Table1[[#This Row],[BudgetUSD]]</f>
        <v>7768893.0500000007</v>
      </c>
      <c r="S428" s="15">
        <f>Table1[[#This Row],[Profit]]/Table1[[#This Row],[BudgetUSD]]</f>
        <v>3.9773465213563468</v>
      </c>
      <c r="T428" t="str">
        <f>IF(Table1[[#This Row],[ROI]]&gt;100%,"Hit","Flop")</f>
        <v>Hit</v>
      </c>
    </row>
    <row r="429" spans="1:20" x14ac:dyDescent="0.3">
      <c r="A429">
        <v>826</v>
      </c>
      <c r="B429" t="s">
        <v>1243</v>
      </c>
      <c r="C429" t="s">
        <v>33</v>
      </c>
      <c r="D429">
        <v>2006</v>
      </c>
      <c r="E429" s="1">
        <v>38938</v>
      </c>
      <c r="F429" t="s">
        <v>34</v>
      </c>
      <c r="G429" s="2">
        <v>9714172.3100000005</v>
      </c>
      <c r="H429" s="2">
        <v>6771722.5599999996</v>
      </c>
      <c r="I429" s="2">
        <v>9714172.3100000005</v>
      </c>
      <c r="J429" s="2">
        <v>1332197.26</v>
      </c>
      <c r="K429" s="2">
        <v>3398422.85</v>
      </c>
      <c r="L429">
        <v>5.3</v>
      </c>
      <c r="M429">
        <v>52</v>
      </c>
      <c r="N429">
        <v>40336</v>
      </c>
      <c r="O429">
        <v>218</v>
      </c>
      <c r="P429" t="s">
        <v>310</v>
      </c>
      <c r="Q429" t="s">
        <v>247</v>
      </c>
      <c r="R429" s="2">
        <f>Table1[[#This Row],[Global_BoxOfficeUSD]]-Table1[[#This Row],[BudgetUSD]]</f>
        <v>0</v>
      </c>
      <c r="S429" s="15">
        <f>Table1[[#This Row],[Profit]]/Table1[[#This Row],[BudgetUSD]]</f>
        <v>0</v>
      </c>
      <c r="T429" t="str">
        <f>IF(Table1[[#This Row],[ROI]]&gt;100%,"Hit","Flop")</f>
        <v>Flop</v>
      </c>
    </row>
    <row r="430" spans="1:20" x14ac:dyDescent="0.3">
      <c r="A430">
        <v>40</v>
      </c>
      <c r="B430" t="s">
        <v>142</v>
      </c>
      <c r="C430" t="s">
        <v>107</v>
      </c>
      <c r="D430">
        <v>2011</v>
      </c>
      <c r="E430" s="1">
        <v>40650</v>
      </c>
      <c r="F430" t="s">
        <v>23</v>
      </c>
      <c r="G430" s="2">
        <v>6574229.6699999999</v>
      </c>
      <c r="H430" s="2">
        <v>4384075.74</v>
      </c>
      <c r="I430" s="2">
        <v>9675132.2899999991</v>
      </c>
      <c r="J430" s="2">
        <v>1034644.32</v>
      </c>
      <c r="K430" s="2">
        <v>2339816.8199999998</v>
      </c>
      <c r="L430">
        <v>4.9000000000000004</v>
      </c>
      <c r="M430">
        <v>57</v>
      </c>
      <c r="N430">
        <v>2630</v>
      </c>
      <c r="O430">
        <v>149</v>
      </c>
      <c r="P430" t="s">
        <v>49</v>
      </c>
      <c r="Q430" t="s">
        <v>93</v>
      </c>
      <c r="R430" s="2">
        <f>Table1[[#This Row],[Global_BoxOfficeUSD]]-Table1[[#This Row],[BudgetUSD]]</f>
        <v>3100902.6199999992</v>
      </c>
      <c r="S430" s="15">
        <f>Table1[[#This Row],[Profit]]/Table1[[#This Row],[BudgetUSD]]</f>
        <v>0.4716754320510374</v>
      </c>
      <c r="T430" t="str">
        <f>IF(Table1[[#This Row],[ROI]]&gt;100%,"Hit","Flop")</f>
        <v>Flop</v>
      </c>
    </row>
    <row r="431" spans="1:20" x14ac:dyDescent="0.3">
      <c r="A431">
        <v>554</v>
      </c>
      <c r="B431" t="s">
        <v>965</v>
      </c>
      <c r="C431" t="s">
        <v>18</v>
      </c>
      <c r="D431">
        <v>1969</v>
      </c>
      <c r="E431" s="1">
        <v>25356</v>
      </c>
      <c r="F431" t="s">
        <v>34</v>
      </c>
      <c r="G431" s="2">
        <v>3171474.66</v>
      </c>
      <c r="H431" s="2">
        <v>6577479.5300000003</v>
      </c>
      <c r="I431" s="2">
        <v>9649221.5</v>
      </c>
      <c r="J431" s="2">
        <v>1281166.6399999999</v>
      </c>
      <c r="K431" s="2">
        <v>3486472.76</v>
      </c>
      <c r="L431">
        <v>5.4</v>
      </c>
      <c r="M431">
        <v>48</v>
      </c>
      <c r="N431">
        <v>10740</v>
      </c>
      <c r="O431">
        <v>2040</v>
      </c>
      <c r="P431" t="s">
        <v>915</v>
      </c>
      <c r="Q431" t="s">
        <v>557</v>
      </c>
      <c r="R431" s="2">
        <f>Table1[[#This Row],[Global_BoxOfficeUSD]]-Table1[[#This Row],[BudgetUSD]]</f>
        <v>6477746.8399999999</v>
      </c>
      <c r="S431" s="15">
        <f>Table1[[#This Row],[Profit]]/Table1[[#This Row],[BudgetUSD]]</f>
        <v>2.0425031048490232</v>
      </c>
      <c r="T431" t="str">
        <f>IF(Table1[[#This Row],[ROI]]&gt;100%,"Hit","Flop")</f>
        <v>Hit</v>
      </c>
    </row>
    <row r="432" spans="1:20" x14ac:dyDescent="0.3">
      <c r="A432">
        <v>29</v>
      </c>
      <c r="B432" t="s">
        <v>106</v>
      </c>
      <c r="C432" t="s">
        <v>107</v>
      </c>
      <c r="D432">
        <v>1990</v>
      </c>
      <c r="E432" s="1">
        <v>33029</v>
      </c>
      <c r="F432" t="s">
        <v>23</v>
      </c>
      <c r="G432" s="2">
        <v>3458304.82</v>
      </c>
      <c r="H432" s="2">
        <v>5548990.9199999999</v>
      </c>
      <c r="I432" s="2">
        <v>9644313.6600000001</v>
      </c>
      <c r="J432" s="2">
        <v>737086.51</v>
      </c>
      <c r="K432" s="2">
        <v>2569995.2400000002</v>
      </c>
      <c r="L432">
        <v>9.3000000000000007</v>
      </c>
      <c r="M432">
        <v>90</v>
      </c>
      <c r="N432">
        <v>4652</v>
      </c>
      <c r="O432">
        <v>1610</v>
      </c>
      <c r="P432" t="s">
        <v>108</v>
      </c>
      <c r="Q432" t="s">
        <v>109</v>
      </c>
      <c r="R432" s="2">
        <f>Table1[[#This Row],[Global_BoxOfficeUSD]]-Table1[[#This Row],[BudgetUSD]]</f>
        <v>6186008.8399999999</v>
      </c>
      <c r="S432" s="15">
        <f>Table1[[#This Row],[Profit]]/Table1[[#This Row],[BudgetUSD]]</f>
        <v>1.7887401955504894</v>
      </c>
      <c r="T432" t="str">
        <f>IF(Table1[[#This Row],[ROI]]&gt;100%,"Hit","Flop")</f>
        <v>Hit</v>
      </c>
    </row>
    <row r="433" spans="1:20" x14ac:dyDescent="0.3">
      <c r="A433">
        <v>718</v>
      </c>
      <c r="B433" t="s">
        <v>1137</v>
      </c>
      <c r="C433" t="s">
        <v>45</v>
      </c>
      <c r="D433">
        <v>2011</v>
      </c>
      <c r="E433" s="1">
        <v>40671</v>
      </c>
      <c r="F433" t="s">
        <v>34</v>
      </c>
      <c r="G433" s="2">
        <v>3163436.07</v>
      </c>
      <c r="H433" s="2">
        <v>5546970.1799999997</v>
      </c>
      <c r="I433" s="2">
        <v>9634978.3300000001</v>
      </c>
      <c r="J433" s="2">
        <v>589800.09</v>
      </c>
      <c r="K433" s="2">
        <v>2616757.88</v>
      </c>
      <c r="L433">
        <v>4.5999999999999996</v>
      </c>
      <c r="M433">
        <v>43</v>
      </c>
      <c r="N433">
        <v>1794</v>
      </c>
      <c r="O433">
        <v>828</v>
      </c>
      <c r="P433" t="s">
        <v>39</v>
      </c>
      <c r="Q433" t="s">
        <v>331</v>
      </c>
      <c r="R433" s="2">
        <f>Table1[[#This Row],[Global_BoxOfficeUSD]]-Table1[[#This Row],[BudgetUSD]]</f>
        <v>6471542.2599999998</v>
      </c>
      <c r="S433" s="15">
        <f>Table1[[#This Row],[Profit]]/Table1[[#This Row],[BudgetUSD]]</f>
        <v>2.045731956264885</v>
      </c>
      <c r="T433" t="str">
        <f>IF(Table1[[#This Row],[ROI]]&gt;100%,"Hit","Flop")</f>
        <v>Hit</v>
      </c>
    </row>
    <row r="434" spans="1:20" x14ac:dyDescent="0.3">
      <c r="A434">
        <v>108</v>
      </c>
      <c r="B434" t="s">
        <v>304</v>
      </c>
      <c r="C434" t="s">
        <v>77</v>
      </c>
      <c r="D434">
        <v>2015</v>
      </c>
      <c r="E434" s="1">
        <v>42014</v>
      </c>
      <c r="F434" t="s">
        <v>23</v>
      </c>
      <c r="G434" s="2">
        <v>2311364.6</v>
      </c>
      <c r="H434" s="2">
        <v>6712540.3700000001</v>
      </c>
      <c r="I434" s="2">
        <v>9629496.9600000009</v>
      </c>
      <c r="J434" s="2">
        <v>1543264.52</v>
      </c>
      <c r="K434" s="2">
        <v>3140444.79</v>
      </c>
      <c r="L434">
        <v>6.4</v>
      </c>
      <c r="M434">
        <v>60</v>
      </c>
      <c r="N434">
        <v>1002</v>
      </c>
      <c r="O434">
        <v>82</v>
      </c>
      <c r="P434" t="s">
        <v>61</v>
      </c>
      <c r="Q434" t="s">
        <v>305</v>
      </c>
      <c r="R434" s="2">
        <f>Table1[[#This Row],[Global_BoxOfficeUSD]]-Table1[[#This Row],[BudgetUSD]]</f>
        <v>7318132.3600000013</v>
      </c>
      <c r="S434" s="15">
        <f>Table1[[#This Row],[Profit]]/Table1[[#This Row],[BudgetUSD]]</f>
        <v>3.1661523067368953</v>
      </c>
      <c r="T434" t="str">
        <f>IF(Table1[[#This Row],[ROI]]&gt;100%,"Hit","Flop")</f>
        <v>Hit</v>
      </c>
    </row>
    <row r="435" spans="1:20" x14ac:dyDescent="0.3">
      <c r="A435">
        <v>557</v>
      </c>
      <c r="B435" t="s">
        <v>970</v>
      </c>
      <c r="C435" t="s">
        <v>38</v>
      </c>
      <c r="D435">
        <v>1968</v>
      </c>
      <c r="E435" s="1">
        <v>25109</v>
      </c>
      <c r="F435" t="s">
        <v>132</v>
      </c>
      <c r="G435" s="2">
        <v>3151423.74</v>
      </c>
      <c r="H435" s="2">
        <v>4485884.53</v>
      </c>
      <c r="I435" s="2">
        <v>9593627.8499999996</v>
      </c>
      <c r="J435" s="2">
        <v>713927.4</v>
      </c>
      <c r="K435" s="2">
        <v>2560996.36</v>
      </c>
      <c r="L435">
        <v>5.3</v>
      </c>
      <c r="M435">
        <v>52</v>
      </c>
      <c r="N435">
        <v>2365</v>
      </c>
      <c r="O435">
        <v>101</v>
      </c>
      <c r="P435" t="s">
        <v>237</v>
      </c>
      <c r="Q435" t="s">
        <v>178</v>
      </c>
      <c r="R435" s="2">
        <f>Table1[[#This Row],[Global_BoxOfficeUSD]]-Table1[[#This Row],[BudgetUSD]]</f>
        <v>6442204.1099999994</v>
      </c>
      <c r="S435" s="15">
        <f>Table1[[#This Row],[Profit]]/Table1[[#This Row],[BudgetUSD]]</f>
        <v>2.0442202133058753</v>
      </c>
      <c r="T435" t="str">
        <f>IF(Table1[[#This Row],[ROI]]&gt;100%,"Hit","Flop")</f>
        <v>Hit</v>
      </c>
    </row>
    <row r="436" spans="1:20" x14ac:dyDescent="0.3">
      <c r="A436">
        <v>886</v>
      </c>
      <c r="B436" t="s">
        <v>1301</v>
      </c>
      <c r="C436" t="s">
        <v>38</v>
      </c>
      <c r="D436">
        <v>2011</v>
      </c>
      <c r="E436" s="1">
        <v>40610</v>
      </c>
      <c r="F436" t="s">
        <v>23</v>
      </c>
      <c r="G436" s="2">
        <v>3278302.11</v>
      </c>
      <c r="H436" s="2">
        <v>5712049.2800000003</v>
      </c>
      <c r="I436" s="2">
        <v>9573763.9600000009</v>
      </c>
      <c r="J436" s="2">
        <v>1347450.09</v>
      </c>
      <c r="K436" s="2">
        <v>2481804.48</v>
      </c>
      <c r="L436">
        <v>8.1999999999999993</v>
      </c>
      <c r="M436">
        <v>77</v>
      </c>
      <c r="N436">
        <v>3422</v>
      </c>
      <c r="O436">
        <v>1535</v>
      </c>
      <c r="P436" t="s">
        <v>231</v>
      </c>
      <c r="Q436" t="s">
        <v>720</v>
      </c>
      <c r="R436" s="2">
        <f>Table1[[#This Row],[Global_BoxOfficeUSD]]-Table1[[#This Row],[BudgetUSD]]</f>
        <v>6295461.8500000015</v>
      </c>
      <c r="S436" s="15">
        <f>Table1[[#This Row],[Profit]]/Table1[[#This Row],[BudgetUSD]]</f>
        <v>1.9203421889631769</v>
      </c>
      <c r="T436" t="str">
        <f>IF(Table1[[#This Row],[ROI]]&gt;100%,"Hit","Flop")</f>
        <v>Hit</v>
      </c>
    </row>
    <row r="437" spans="1:20" x14ac:dyDescent="0.3">
      <c r="A437">
        <v>685</v>
      </c>
      <c r="B437" t="s">
        <v>942</v>
      </c>
      <c r="C437" t="s">
        <v>45</v>
      </c>
      <c r="D437">
        <v>2025</v>
      </c>
      <c r="E437" s="1">
        <v>46010</v>
      </c>
      <c r="F437" t="s">
        <v>249</v>
      </c>
      <c r="G437" s="2">
        <v>2213020.44</v>
      </c>
      <c r="H437" s="2">
        <v>4739857.5199999996</v>
      </c>
      <c r="I437" s="2">
        <v>9538858.0399999991</v>
      </c>
      <c r="J437" s="2">
        <v>929084.47</v>
      </c>
      <c r="K437" s="2">
        <v>2674914.15</v>
      </c>
      <c r="L437">
        <v>7.6</v>
      </c>
      <c r="M437">
        <v>91</v>
      </c>
      <c r="N437">
        <v>4032</v>
      </c>
      <c r="O437">
        <v>190</v>
      </c>
      <c r="P437" t="s">
        <v>424</v>
      </c>
      <c r="Q437" t="s">
        <v>507</v>
      </c>
      <c r="R437" s="2">
        <f>Table1[[#This Row],[Global_BoxOfficeUSD]]-Table1[[#This Row],[BudgetUSD]]</f>
        <v>7325837.5999999996</v>
      </c>
      <c r="S437" s="15">
        <f>Table1[[#This Row],[Profit]]/Table1[[#This Row],[BudgetUSD]]</f>
        <v>3.3103343591349748</v>
      </c>
      <c r="T437" t="str">
        <f>IF(Table1[[#This Row],[ROI]]&gt;100%,"Hit","Flop")</f>
        <v>Hit</v>
      </c>
    </row>
    <row r="438" spans="1:20" x14ac:dyDescent="0.3">
      <c r="A438">
        <v>9</v>
      </c>
      <c r="B438" t="s">
        <v>48</v>
      </c>
      <c r="C438" t="s">
        <v>38</v>
      </c>
      <c r="D438">
        <v>1983</v>
      </c>
      <c r="E438" s="1">
        <v>30387</v>
      </c>
      <c r="F438" t="s">
        <v>23</v>
      </c>
      <c r="G438" s="2">
        <v>4746218.1500000004</v>
      </c>
      <c r="H438" s="2">
        <v>6361493.8200000003</v>
      </c>
      <c r="I438" s="2">
        <v>9506139.9000000004</v>
      </c>
      <c r="J438" s="2">
        <v>1612321.12</v>
      </c>
      <c r="K438" s="2">
        <v>2977114.88</v>
      </c>
      <c r="L438">
        <v>6.9</v>
      </c>
      <c r="M438">
        <v>69</v>
      </c>
      <c r="N438">
        <v>1041</v>
      </c>
      <c r="O438">
        <v>1467</v>
      </c>
      <c r="P438" t="s">
        <v>49</v>
      </c>
      <c r="Q438" t="s">
        <v>50</v>
      </c>
      <c r="R438" s="2">
        <f>Table1[[#This Row],[Global_BoxOfficeUSD]]-Table1[[#This Row],[BudgetUSD]]</f>
        <v>4759921.75</v>
      </c>
      <c r="S438" s="15">
        <f>Table1[[#This Row],[Profit]]/Table1[[#This Row],[BudgetUSD]]</f>
        <v>1.0028872672024145</v>
      </c>
      <c r="T438" t="str">
        <f>IF(Table1[[#This Row],[ROI]]&gt;100%,"Hit","Flop")</f>
        <v>Hit</v>
      </c>
    </row>
    <row r="439" spans="1:20" x14ac:dyDescent="0.3">
      <c r="A439">
        <v>196</v>
      </c>
      <c r="B439" t="s">
        <v>481</v>
      </c>
      <c r="C439" t="s">
        <v>86</v>
      </c>
      <c r="D439">
        <v>2012</v>
      </c>
      <c r="E439" s="1">
        <v>40949</v>
      </c>
      <c r="F439" t="s">
        <v>23</v>
      </c>
      <c r="G439" s="2">
        <v>5339740.9000000004</v>
      </c>
      <c r="H439" s="2">
        <v>5488779.6299999999</v>
      </c>
      <c r="I439" s="2">
        <v>9483993.8399999999</v>
      </c>
      <c r="J439" s="2">
        <v>904150.8</v>
      </c>
      <c r="K439" s="2">
        <v>2891173.35</v>
      </c>
      <c r="L439">
        <v>7.2</v>
      </c>
      <c r="M439">
        <v>55</v>
      </c>
      <c r="N439">
        <v>4565</v>
      </c>
      <c r="O439">
        <v>50</v>
      </c>
      <c r="P439" t="s">
        <v>385</v>
      </c>
      <c r="Q439" t="s">
        <v>482</v>
      </c>
      <c r="R439" s="2">
        <f>Table1[[#This Row],[Global_BoxOfficeUSD]]-Table1[[#This Row],[BudgetUSD]]</f>
        <v>4144252.9399999995</v>
      </c>
      <c r="S439" s="15">
        <f>Table1[[#This Row],[Profit]]/Table1[[#This Row],[BudgetUSD]]</f>
        <v>0.77611498715227911</v>
      </c>
      <c r="T439" t="str">
        <f>IF(Table1[[#This Row],[ROI]]&gt;100%,"Hit","Flop")</f>
        <v>Flop</v>
      </c>
    </row>
    <row r="440" spans="1:20" x14ac:dyDescent="0.3">
      <c r="A440">
        <v>67</v>
      </c>
      <c r="B440" t="s">
        <v>211</v>
      </c>
      <c r="C440" t="s">
        <v>38</v>
      </c>
      <c r="D440">
        <v>2011</v>
      </c>
      <c r="E440" s="1">
        <v>40875</v>
      </c>
      <c r="F440" t="s">
        <v>34</v>
      </c>
      <c r="G440" s="2">
        <v>5194204.3899999997</v>
      </c>
      <c r="H440" s="2">
        <v>6095107.9800000004</v>
      </c>
      <c r="I440" s="2">
        <v>9482283.2899999991</v>
      </c>
      <c r="J440" s="2">
        <v>633029.43000000005</v>
      </c>
      <c r="K440" s="2">
        <v>2856974.63</v>
      </c>
      <c r="L440">
        <v>8</v>
      </c>
      <c r="M440">
        <v>87</v>
      </c>
      <c r="N440">
        <v>3197</v>
      </c>
      <c r="O440">
        <v>885</v>
      </c>
      <c r="P440" t="s">
        <v>212</v>
      </c>
      <c r="Q440" t="s">
        <v>213</v>
      </c>
      <c r="R440" s="2">
        <f>Table1[[#This Row],[Global_BoxOfficeUSD]]-Table1[[#This Row],[BudgetUSD]]</f>
        <v>4288078.8999999994</v>
      </c>
      <c r="S440" s="15">
        <f>Table1[[#This Row],[Profit]]/Table1[[#This Row],[BudgetUSD]]</f>
        <v>0.82555066725050452</v>
      </c>
      <c r="T440" t="str">
        <f>IF(Table1[[#This Row],[ROI]]&gt;100%,"Hit","Flop")</f>
        <v>Flop</v>
      </c>
    </row>
    <row r="441" spans="1:20" x14ac:dyDescent="0.3">
      <c r="A441">
        <v>160</v>
      </c>
      <c r="B441" t="s">
        <v>411</v>
      </c>
      <c r="C441" t="s">
        <v>38</v>
      </c>
      <c r="D441">
        <v>1981</v>
      </c>
      <c r="E441" s="1">
        <v>29875</v>
      </c>
      <c r="F441" t="s">
        <v>139</v>
      </c>
      <c r="G441" s="2">
        <v>2626597.98</v>
      </c>
      <c r="H441" s="2">
        <v>5057502.2300000004</v>
      </c>
      <c r="I441" s="2">
        <v>9455136.3800000008</v>
      </c>
      <c r="J441" s="2">
        <v>1079490.44</v>
      </c>
      <c r="K441" s="2">
        <v>2476618.13</v>
      </c>
      <c r="L441">
        <v>8.1</v>
      </c>
      <c r="M441">
        <v>98</v>
      </c>
      <c r="N441">
        <v>4205</v>
      </c>
      <c r="O441">
        <v>288</v>
      </c>
      <c r="P441" t="s">
        <v>140</v>
      </c>
      <c r="Q441" t="s">
        <v>412</v>
      </c>
      <c r="R441" s="2">
        <f>Table1[[#This Row],[Global_BoxOfficeUSD]]-Table1[[#This Row],[BudgetUSD]]</f>
        <v>6828538.4000000004</v>
      </c>
      <c r="S441" s="15">
        <f>Table1[[#This Row],[Profit]]/Table1[[#This Row],[BudgetUSD]]</f>
        <v>2.5997653436099881</v>
      </c>
      <c r="T441" t="str">
        <f>IF(Table1[[#This Row],[ROI]]&gt;100%,"Hit","Flop")</f>
        <v>Hit</v>
      </c>
    </row>
    <row r="442" spans="1:20" x14ac:dyDescent="0.3">
      <c r="A442">
        <v>169</v>
      </c>
      <c r="B442" t="s">
        <v>433</v>
      </c>
      <c r="C442" t="s">
        <v>45</v>
      </c>
      <c r="D442">
        <v>1995</v>
      </c>
      <c r="E442" s="1">
        <v>34909</v>
      </c>
      <c r="F442" t="s">
        <v>267</v>
      </c>
      <c r="G442" s="2">
        <v>4373875.87</v>
      </c>
      <c r="H442" s="2">
        <v>4067538.8</v>
      </c>
      <c r="I442" s="2">
        <v>9383807.75</v>
      </c>
      <c r="J442" s="2">
        <v>634272.97</v>
      </c>
      <c r="K442" s="2">
        <v>2171364.7200000002</v>
      </c>
      <c r="L442">
        <v>6.5</v>
      </c>
      <c r="M442">
        <v>79</v>
      </c>
      <c r="N442">
        <v>2725</v>
      </c>
      <c r="O442">
        <v>152</v>
      </c>
      <c r="P442" t="s">
        <v>307</v>
      </c>
      <c r="Q442" t="s">
        <v>434</v>
      </c>
      <c r="R442" s="2">
        <f>Table1[[#This Row],[Global_BoxOfficeUSD]]-Table1[[#This Row],[BudgetUSD]]</f>
        <v>5009931.88</v>
      </c>
      <c r="S442" s="15">
        <f>Table1[[#This Row],[Profit]]/Table1[[#This Row],[BudgetUSD]]</f>
        <v>1.1454215960637217</v>
      </c>
      <c r="T442" t="str">
        <f>IF(Table1[[#This Row],[ROI]]&gt;100%,"Hit","Flop")</f>
        <v>Hit</v>
      </c>
    </row>
    <row r="443" spans="1:20" x14ac:dyDescent="0.3">
      <c r="A443">
        <v>816</v>
      </c>
      <c r="B443" t="s">
        <v>1234</v>
      </c>
      <c r="C443" t="s">
        <v>67</v>
      </c>
      <c r="D443">
        <v>2001</v>
      </c>
      <c r="E443" s="1">
        <v>37134</v>
      </c>
      <c r="F443" t="s">
        <v>23</v>
      </c>
      <c r="G443" s="2">
        <v>6908962.2699999996</v>
      </c>
      <c r="H443" s="2">
        <v>6407485.6299999999</v>
      </c>
      <c r="I443" s="2">
        <v>9358553.9000000004</v>
      </c>
      <c r="J443" s="2">
        <v>1553877.29</v>
      </c>
      <c r="K443" s="2">
        <v>3518456.14</v>
      </c>
      <c r="L443">
        <v>5.0999999999999996</v>
      </c>
      <c r="M443">
        <v>28</v>
      </c>
      <c r="N443">
        <v>1265</v>
      </c>
      <c r="O443">
        <v>86</v>
      </c>
      <c r="P443" t="s">
        <v>83</v>
      </c>
      <c r="Q443" t="s">
        <v>1235</v>
      </c>
      <c r="R443" s="2">
        <f>Table1[[#This Row],[Global_BoxOfficeUSD]]-Table1[[#This Row],[BudgetUSD]]</f>
        <v>2449591.6300000008</v>
      </c>
      <c r="S443" s="15">
        <f>Table1[[#This Row],[Profit]]/Table1[[#This Row],[BudgetUSD]]</f>
        <v>0.35455275832617927</v>
      </c>
      <c r="T443" t="str">
        <f>IF(Table1[[#This Row],[ROI]]&gt;100%,"Hit","Flop")</f>
        <v>Flop</v>
      </c>
    </row>
    <row r="444" spans="1:20" x14ac:dyDescent="0.3">
      <c r="A444">
        <v>333</v>
      </c>
      <c r="B444" t="s">
        <v>683</v>
      </c>
      <c r="C444" t="s">
        <v>45</v>
      </c>
      <c r="D444">
        <v>2017</v>
      </c>
      <c r="E444" s="1">
        <v>42828</v>
      </c>
      <c r="F444" t="s">
        <v>34</v>
      </c>
      <c r="G444" s="2">
        <v>2267410.19</v>
      </c>
      <c r="H444" s="2">
        <v>5730027.5700000003</v>
      </c>
      <c r="I444" s="2">
        <v>9351908.7899999991</v>
      </c>
      <c r="J444" s="2">
        <v>1121053.32</v>
      </c>
      <c r="K444" s="2">
        <v>2834714.7</v>
      </c>
      <c r="L444">
        <v>6.5</v>
      </c>
      <c r="M444">
        <v>73</v>
      </c>
      <c r="N444">
        <v>1430</v>
      </c>
      <c r="O444">
        <v>5404</v>
      </c>
      <c r="P444" t="s">
        <v>184</v>
      </c>
      <c r="Q444" t="s">
        <v>684</v>
      </c>
      <c r="R444" s="2">
        <f>Table1[[#This Row],[Global_BoxOfficeUSD]]-Table1[[#This Row],[BudgetUSD]]</f>
        <v>7084498.5999999996</v>
      </c>
      <c r="S444" s="15">
        <f>Table1[[#This Row],[Profit]]/Table1[[#This Row],[BudgetUSD]]</f>
        <v>3.1244891776727881</v>
      </c>
      <c r="T444" t="str">
        <f>IF(Table1[[#This Row],[ROI]]&gt;100%,"Hit","Flop")</f>
        <v>Hit</v>
      </c>
    </row>
    <row r="445" spans="1:20" x14ac:dyDescent="0.3">
      <c r="A445">
        <v>458</v>
      </c>
      <c r="B445" t="s">
        <v>850</v>
      </c>
      <c r="C445" t="s">
        <v>86</v>
      </c>
      <c r="D445">
        <v>2015</v>
      </c>
      <c r="E445" s="1">
        <v>42083</v>
      </c>
      <c r="F445" t="s">
        <v>23</v>
      </c>
      <c r="G445" s="2">
        <v>2130899.92</v>
      </c>
      <c r="H445" s="2">
        <v>4597140.6399999997</v>
      </c>
      <c r="I445" s="2">
        <v>9337790.2699999996</v>
      </c>
      <c r="J445" s="2">
        <v>1299909.01</v>
      </c>
      <c r="K445" s="2">
        <v>2095021.03</v>
      </c>
      <c r="L445">
        <v>6.6</v>
      </c>
      <c r="M445">
        <v>64</v>
      </c>
      <c r="N445">
        <v>7317</v>
      </c>
      <c r="O445">
        <v>2464</v>
      </c>
      <c r="P445" t="s">
        <v>307</v>
      </c>
      <c r="Q445" t="s">
        <v>783</v>
      </c>
      <c r="R445" s="2">
        <f>Table1[[#This Row],[Global_BoxOfficeUSD]]-Table1[[#This Row],[BudgetUSD]]</f>
        <v>7206890.3499999996</v>
      </c>
      <c r="S445" s="15">
        <f>Table1[[#This Row],[Profit]]/Table1[[#This Row],[BudgetUSD]]</f>
        <v>3.3820876721418243</v>
      </c>
      <c r="T445" t="str">
        <f>IF(Table1[[#This Row],[ROI]]&gt;100%,"Hit","Flop")</f>
        <v>Hit</v>
      </c>
    </row>
    <row r="446" spans="1:20" x14ac:dyDescent="0.3">
      <c r="A446">
        <v>398</v>
      </c>
      <c r="B446" t="s">
        <v>772</v>
      </c>
      <c r="C446" t="s">
        <v>38</v>
      </c>
      <c r="D446">
        <v>1992</v>
      </c>
      <c r="E446" s="1">
        <v>33644</v>
      </c>
      <c r="F446" t="s">
        <v>23</v>
      </c>
      <c r="G446" s="2">
        <v>1983360.64</v>
      </c>
      <c r="H446" s="2">
        <v>4370577.83</v>
      </c>
      <c r="I446" s="2">
        <v>9327293.0800000001</v>
      </c>
      <c r="J446" s="2">
        <v>516362.72</v>
      </c>
      <c r="K446" s="2">
        <v>1841175.89</v>
      </c>
      <c r="L446">
        <v>3.6</v>
      </c>
      <c r="M446">
        <v>32</v>
      </c>
      <c r="N446">
        <v>3959</v>
      </c>
      <c r="O446">
        <v>131</v>
      </c>
      <c r="P446" t="s">
        <v>71</v>
      </c>
      <c r="Q446" t="s">
        <v>653</v>
      </c>
      <c r="R446" s="2">
        <f>Table1[[#This Row],[Global_BoxOfficeUSD]]-Table1[[#This Row],[BudgetUSD]]</f>
        <v>7343932.4400000004</v>
      </c>
      <c r="S446" s="15">
        <f>Table1[[#This Row],[Profit]]/Table1[[#This Row],[BudgetUSD]]</f>
        <v>3.7027720989764124</v>
      </c>
      <c r="T446" t="str">
        <f>IF(Table1[[#This Row],[ROI]]&gt;100%,"Hit","Flop")</f>
        <v>Hit</v>
      </c>
    </row>
    <row r="447" spans="1:20" x14ac:dyDescent="0.3">
      <c r="A447">
        <v>545</v>
      </c>
      <c r="B447" t="s">
        <v>956</v>
      </c>
      <c r="C447" t="s">
        <v>77</v>
      </c>
      <c r="D447">
        <v>1996</v>
      </c>
      <c r="E447" s="1">
        <v>35106</v>
      </c>
      <c r="F447" t="s">
        <v>139</v>
      </c>
      <c r="G447" s="2">
        <v>2334582.19</v>
      </c>
      <c r="H447" s="2">
        <v>4043790.36</v>
      </c>
      <c r="I447" s="2">
        <v>9313771.9199999999</v>
      </c>
      <c r="J447" s="2">
        <v>1140703.75</v>
      </c>
      <c r="K447" s="2">
        <v>2032308.78</v>
      </c>
      <c r="L447">
        <v>5.3</v>
      </c>
      <c r="M447">
        <v>47</v>
      </c>
      <c r="N447">
        <v>392</v>
      </c>
      <c r="O447">
        <v>3360</v>
      </c>
      <c r="P447" t="s">
        <v>643</v>
      </c>
      <c r="Q447" t="s">
        <v>232</v>
      </c>
      <c r="R447" s="2">
        <f>Table1[[#This Row],[Global_BoxOfficeUSD]]-Table1[[#This Row],[BudgetUSD]]</f>
        <v>6979189.7300000004</v>
      </c>
      <c r="S447" s="15">
        <f>Table1[[#This Row],[Profit]]/Table1[[#This Row],[BudgetUSD]]</f>
        <v>2.9894812698798154</v>
      </c>
      <c r="T447" t="str">
        <f>IF(Table1[[#This Row],[ROI]]&gt;100%,"Hit","Flop")</f>
        <v>Hit</v>
      </c>
    </row>
    <row r="448" spans="1:20" x14ac:dyDescent="0.3">
      <c r="A448">
        <v>387</v>
      </c>
      <c r="B448" t="s">
        <v>761</v>
      </c>
      <c r="C448" t="s">
        <v>38</v>
      </c>
      <c r="D448">
        <v>1957</v>
      </c>
      <c r="E448" s="1">
        <v>21088</v>
      </c>
      <c r="F448" t="s">
        <v>249</v>
      </c>
      <c r="G448" s="2">
        <v>1880268.18</v>
      </c>
      <c r="H448" s="2">
        <v>5772902.9500000002</v>
      </c>
      <c r="I448" s="2">
        <v>9284225.3699999992</v>
      </c>
      <c r="J448" s="2">
        <v>1639524.76</v>
      </c>
      <c r="K448" s="2">
        <v>3162880.6</v>
      </c>
      <c r="L448">
        <v>6.8</v>
      </c>
      <c r="M448">
        <v>68</v>
      </c>
      <c r="N448">
        <v>1079</v>
      </c>
      <c r="O448">
        <v>1012</v>
      </c>
      <c r="P448" t="s">
        <v>58</v>
      </c>
      <c r="Q448" t="s">
        <v>564</v>
      </c>
      <c r="R448" s="2">
        <f>Table1[[#This Row],[Global_BoxOfficeUSD]]-Table1[[#This Row],[BudgetUSD]]</f>
        <v>7403957.1899999995</v>
      </c>
      <c r="S448" s="15">
        <f>Table1[[#This Row],[Profit]]/Table1[[#This Row],[BudgetUSD]]</f>
        <v>3.9377133904377404</v>
      </c>
      <c r="T448" t="str">
        <f>IF(Table1[[#This Row],[ROI]]&gt;100%,"Hit","Flop")</f>
        <v>Hit</v>
      </c>
    </row>
    <row r="449" spans="1:20" x14ac:dyDescent="0.3">
      <c r="A449">
        <v>207</v>
      </c>
      <c r="B449" t="s">
        <v>504</v>
      </c>
      <c r="C449" t="s">
        <v>77</v>
      </c>
      <c r="D449">
        <v>2017</v>
      </c>
      <c r="E449" s="1">
        <v>42780</v>
      </c>
      <c r="F449" t="s">
        <v>249</v>
      </c>
      <c r="G449" s="2">
        <v>2861976.35</v>
      </c>
      <c r="H449" s="2">
        <v>6439424.8499999996</v>
      </c>
      <c r="I449" s="2">
        <v>9263758.0099999998</v>
      </c>
      <c r="J449" s="2">
        <v>1439544.24</v>
      </c>
      <c r="K449" s="2">
        <v>3710431.79</v>
      </c>
      <c r="L449">
        <v>7.1</v>
      </c>
      <c r="M449">
        <v>75</v>
      </c>
      <c r="N449">
        <v>272</v>
      </c>
      <c r="O449">
        <v>1429</v>
      </c>
      <c r="P449" t="s">
        <v>64</v>
      </c>
      <c r="Q449" t="s">
        <v>206</v>
      </c>
      <c r="R449" s="2">
        <f>Table1[[#This Row],[Global_BoxOfficeUSD]]-Table1[[#This Row],[BudgetUSD]]</f>
        <v>6401781.6600000001</v>
      </c>
      <c r="S449" s="15">
        <f>Table1[[#This Row],[Profit]]/Table1[[#This Row],[BudgetUSD]]</f>
        <v>2.2368394693408282</v>
      </c>
      <c r="T449" t="str">
        <f>IF(Table1[[#This Row],[ROI]]&gt;100%,"Hit","Flop")</f>
        <v>Hit</v>
      </c>
    </row>
    <row r="450" spans="1:20" x14ac:dyDescent="0.3">
      <c r="A450">
        <v>492</v>
      </c>
      <c r="B450" t="s">
        <v>894</v>
      </c>
      <c r="C450" t="s">
        <v>86</v>
      </c>
      <c r="D450">
        <v>1970</v>
      </c>
      <c r="E450" s="1">
        <v>25580</v>
      </c>
      <c r="F450" t="s">
        <v>23</v>
      </c>
      <c r="G450" s="2">
        <v>9215165.1799999997</v>
      </c>
      <c r="H450" s="2">
        <v>5036127.6100000003</v>
      </c>
      <c r="I450" s="2">
        <v>9215165.1799999997</v>
      </c>
      <c r="J450" s="2">
        <v>811748.73</v>
      </c>
      <c r="K450" s="2">
        <v>2032770.83</v>
      </c>
      <c r="L450">
        <v>6.3</v>
      </c>
      <c r="M450">
        <v>59</v>
      </c>
      <c r="N450">
        <v>1714</v>
      </c>
      <c r="O450">
        <v>5363</v>
      </c>
      <c r="P450" t="s">
        <v>87</v>
      </c>
      <c r="Q450" t="s">
        <v>895</v>
      </c>
      <c r="R450" s="2">
        <f>Table1[[#This Row],[Global_BoxOfficeUSD]]-Table1[[#This Row],[BudgetUSD]]</f>
        <v>0</v>
      </c>
      <c r="S450" s="15">
        <f>Table1[[#This Row],[Profit]]/Table1[[#This Row],[BudgetUSD]]</f>
        <v>0</v>
      </c>
      <c r="T450" t="str">
        <f>IF(Table1[[#This Row],[ROI]]&gt;100%,"Hit","Flop")</f>
        <v>Flop</v>
      </c>
    </row>
    <row r="451" spans="1:20" x14ac:dyDescent="0.3">
      <c r="A451">
        <v>811</v>
      </c>
      <c r="B451" t="s">
        <v>1230</v>
      </c>
      <c r="C451" t="s">
        <v>18</v>
      </c>
      <c r="D451">
        <v>1996</v>
      </c>
      <c r="E451" s="1">
        <v>35351</v>
      </c>
      <c r="F451" t="s">
        <v>132</v>
      </c>
      <c r="G451" s="2">
        <v>3831461.98</v>
      </c>
      <c r="H451" s="2">
        <v>5721122.4400000004</v>
      </c>
      <c r="I451" s="2">
        <v>9212895.2899999991</v>
      </c>
      <c r="J451" s="2">
        <v>1172425.24</v>
      </c>
      <c r="K451" s="2">
        <v>3174788.12</v>
      </c>
      <c r="L451">
        <v>4</v>
      </c>
      <c r="M451">
        <v>34</v>
      </c>
      <c r="N451">
        <v>2226</v>
      </c>
      <c r="O451">
        <v>1457</v>
      </c>
      <c r="P451" t="s">
        <v>344</v>
      </c>
      <c r="Q451" t="s">
        <v>473</v>
      </c>
      <c r="R451" s="2">
        <f>Table1[[#This Row],[Global_BoxOfficeUSD]]-Table1[[#This Row],[BudgetUSD]]</f>
        <v>5381433.3099999987</v>
      </c>
      <c r="S451" s="15">
        <f>Table1[[#This Row],[Profit]]/Table1[[#This Row],[BudgetUSD]]</f>
        <v>1.4045378338844952</v>
      </c>
      <c r="T451" t="str">
        <f>IF(Table1[[#This Row],[ROI]]&gt;100%,"Hit","Flop")</f>
        <v>Hit</v>
      </c>
    </row>
    <row r="452" spans="1:20" x14ac:dyDescent="0.3">
      <c r="A452">
        <v>380</v>
      </c>
      <c r="B452" t="s">
        <v>749</v>
      </c>
      <c r="C452" t="s">
        <v>18</v>
      </c>
      <c r="D452">
        <v>1970</v>
      </c>
      <c r="E452" s="1">
        <v>25787</v>
      </c>
      <c r="F452" t="s">
        <v>23</v>
      </c>
      <c r="G452" s="2">
        <v>2067942.27</v>
      </c>
      <c r="H452" s="2">
        <v>4990994.17</v>
      </c>
      <c r="I452" s="2">
        <v>9185932.2799999993</v>
      </c>
      <c r="J452" s="2">
        <v>959523.63</v>
      </c>
      <c r="K452" s="2">
        <v>2075735.55</v>
      </c>
      <c r="L452">
        <v>5.8</v>
      </c>
      <c r="M452">
        <v>65</v>
      </c>
      <c r="N452">
        <v>493</v>
      </c>
      <c r="O452">
        <v>503</v>
      </c>
      <c r="P452" t="s">
        <v>666</v>
      </c>
      <c r="Q452" t="s">
        <v>750</v>
      </c>
      <c r="R452" s="2">
        <f>Table1[[#This Row],[Global_BoxOfficeUSD]]-Table1[[#This Row],[BudgetUSD]]</f>
        <v>7117990.0099999998</v>
      </c>
      <c r="S452" s="15">
        <f>Table1[[#This Row],[Profit]]/Table1[[#This Row],[BudgetUSD]]</f>
        <v>3.4420641781262105</v>
      </c>
      <c r="T452" t="str">
        <f>IF(Table1[[#This Row],[ROI]]&gt;100%,"Hit","Flop")</f>
        <v>Hit</v>
      </c>
    </row>
    <row r="453" spans="1:20" x14ac:dyDescent="0.3">
      <c r="A453">
        <v>23</v>
      </c>
      <c r="B453" t="s">
        <v>92</v>
      </c>
      <c r="C453" t="s">
        <v>38</v>
      </c>
      <c r="D453">
        <v>2013</v>
      </c>
      <c r="E453" s="1">
        <v>41554</v>
      </c>
      <c r="F453" t="s">
        <v>23</v>
      </c>
      <c r="G453" s="2">
        <v>2846436.28</v>
      </c>
      <c r="H453" s="2">
        <v>5420815.2599999998</v>
      </c>
      <c r="I453" s="2">
        <v>9172595.8200000003</v>
      </c>
      <c r="J453" s="2">
        <v>1293966.8600000001</v>
      </c>
      <c r="K453" s="2">
        <v>2829319.33</v>
      </c>
      <c r="L453">
        <v>5.3</v>
      </c>
      <c r="M453">
        <v>49</v>
      </c>
      <c r="N453">
        <v>2103</v>
      </c>
      <c r="O453">
        <v>490</v>
      </c>
      <c r="P453" t="s">
        <v>58</v>
      </c>
      <c r="Q453" t="s">
        <v>93</v>
      </c>
      <c r="R453" s="2">
        <f>Table1[[#This Row],[Global_BoxOfficeUSD]]-Table1[[#This Row],[BudgetUSD]]</f>
        <v>6326159.540000001</v>
      </c>
      <c r="S453" s="15">
        <f>Table1[[#This Row],[Profit]]/Table1[[#This Row],[BudgetUSD]]</f>
        <v>2.2224841583314845</v>
      </c>
      <c r="T453" t="str">
        <f>IF(Table1[[#This Row],[ROI]]&gt;100%,"Hit","Flop")</f>
        <v>Hit</v>
      </c>
    </row>
    <row r="454" spans="1:20" x14ac:dyDescent="0.3">
      <c r="A454">
        <v>37</v>
      </c>
      <c r="B454" t="s">
        <v>131</v>
      </c>
      <c r="C454" t="s">
        <v>38</v>
      </c>
      <c r="D454">
        <v>2003</v>
      </c>
      <c r="E454" s="1">
        <v>37836</v>
      </c>
      <c r="F454" t="s">
        <v>132</v>
      </c>
      <c r="G454" s="2">
        <v>2094307.14</v>
      </c>
      <c r="H454" s="2">
        <v>5020481.93</v>
      </c>
      <c r="I454" s="2">
        <v>9166273.6999999993</v>
      </c>
      <c r="J454" s="2">
        <v>738047.91</v>
      </c>
      <c r="K454" s="2">
        <v>2061563.72</v>
      </c>
      <c r="L454">
        <v>4.9000000000000004</v>
      </c>
      <c r="M454">
        <v>55</v>
      </c>
      <c r="N454">
        <v>8011</v>
      </c>
      <c r="O454">
        <v>122</v>
      </c>
      <c r="P454" t="s">
        <v>133</v>
      </c>
      <c r="Q454" t="s">
        <v>134</v>
      </c>
      <c r="R454" s="2">
        <f>Table1[[#This Row],[Global_BoxOfficeUSD]]-Table1[[#This Row],[BudgetUSD]]</f>
        <v>7071966.5599999996</v>
      </c>
      <c r="S454" s="15">
        <f>Table1[[#This Row],[Profit]]/Table1[[#This Row],[BudgetUSD]]</f>
        <v>3.3767571264642684</v>
      </c>
      <c r="T454" t="str">
        <f>IF(Table1[[#This Row],[ROI]]&gt;100%,"Hit","Flop")</f>
        <v>Hit</v>
      </c>
    </row>
    <row r="455" spans="1:20" x14ac:dyDescent="0.3">
      <c r="A455">
        <v>444</v>
      </c>
      <c r="B455" t="s">
        <v>833</v>
      </c>
      <c r="C455" t="s">
        <v>18</v>
      </c>
      <c r="D455">
        <v>2020</v>
      </c>
      <c r="E455" s="1">
        <v>43895</v>
      </c>
      <c r="F455" t="s">
        <v>139</v>
      </c>
      <c r="G455" s="2">
        <v>3766556.16</v>
      </c>
      <c r="H455" s="2">
        <v>4902906.5</v>
      </c>
      <c r="I455" s="2">
        <v>9160221.6300000008</v>
      </c>
      <c r="J455" s="2">
        <v>1419482.35</v>
      </c>
      <c r="K455" s="2">
        <v>2918940.7</v>
      </c>
      <c r="L455">
        <v>7.9</v>
      </c>
      <c r="M455">
        <v>77</v>
      </c>
      <c r="N455">
        <v>770</v>
      </c>
      <c r="O455">
        <v>161</v>
      </c>
      <c r="P455" t="s">
        <v>126</v>
      </c>
      <c r="Q455" t="s">
        <v>834</v>
      </c>
      <c r="R455" s="2">
        <f>Table1[[#This Row],[Global_BoxOfficeUSD]]-Table1[[#This Row],[BudgetUSD]]</f>
        <v>5393665.4700000007</v>
      </c>
      <c r="S455" s="15">
        <f>Table1[[#This Row],[Profit]]/Table1[[#This Row],[BudgetUSD]]</f>
        <v>1.4319885967132375</v>
      </c>
      <c r="T455" t="str">
        <f>IF(Table1[[#This Row],[ROI]]&gt;100%,"Hit","Flop")</f>
        <v>Hit</v>
      </c>
    </row>
    <row r="456" spans="1:20" x14ac:dyDescent="0.3">
      <c r="A456">
        <v>84</v>
      </c>
      <c r="B456" t="s">
        <v>251</v>
      </c>
      <c r="C456" t="s">
        <v>86</v>
      </c>
      <c r="D456">
        <v>1963</v>
      </c>
      <c r="E456" s="1">
        <v>23177</v>
      </c>
      <c r="F456" t="s">
        <v>23</v>
      </c>
      <c r="G456" s="2">
        <v>3185589.08</v>
      </c>
      <c r="H456" s="2">
        <v>4372118.47</v>
      </c>
      <c r="I456" s="2">
        <v>9146916.2599999998</v>
      </c>
      <c r="J456" s="2">
        <v>1154576.97</v>
      </c>
      <c r="K456" s="2">
        <v>2365881.83</v>
      </c>
      <c r="L456">
        <v>8.1999999999999993</v>
      </c>
      <c r="M456">
        <v>84</v>
      </c>
      <c r="N456">
        <v>842</v>
      </c>
      <c r="O456">
        <v>9880</v>
      </c>
      <c r="P456" t="s">
        <v>252</v>
      </c>
      <c r="Q456" t="s">
        <v>253</v>
      </c>
      <c r="R456" s="2">
        <f>Table1[[#This Row],[Global_BoxOfficeUSD]]-Table1[[#This Row],[BudgetUSD]]</f>
        <v>5961327.1799999997</v>
      </c>
      <c r="S456" s="15">
        <f>Table1[[#This Row],[Profit]]/Table1[[#This Row],[BudgetUSD]]</f>
        <v>1.8713421694677581</v>
      </c>
      <c r="T456" t="str">
        <f>IF(Table1[[#This Row],[ROI]]&gt;100%,"Hit","Flop")</f>
        <v>Hit</v>
      </c>
    </row>
    <row r="457" spans="1:20" x14ac:dyDescent="0.3">
      <c r="A457">
        <v>120</v>
      </c>
      <c r="B457" t="s">
        <v>332</v>
      </c>
      <c r="C457" t="s">
        <v>18</v>
      </c>
      <c r="D457">
        <v>1986</v>
      </c>
      <c r="E457" s="1">
        <v>31684</v>
      </c>
      <c r="F457" t="s">
        <v>23</v>
      </c>
      <c r="G457" s="2">
        <v>8602015.6400000006</v>
      </c>
      <c r="H457" s="2">
        <v>4101668.39</v>
      </c>
      <c r="I457" s="2">
        <v>9140502.1400000006</v>
      </c>
      <c r="J457" s="2">
        <v>836133.16</v>
      </c>
      <c r="K457" s="2">
        <v>1885149.1</v>
      </c>
      <c r="L457">
        <v>8.4</v>
      </c>
      <c r="M457">
        <v>92</v>
      </c>
      <c r="N457">
        <v>1098</v>
      </c>
      <c r="O457">
        <v>66</v>
      </c>
      <c r="P457" t="s">
        <v>192</v>
      </c>
      <c r="Q457" t="s">
        <v>275</v>
      </c>
      <c r="R457" s="2">
        <f>Table1[[#This Row],[Global_BoxOfficeUSD]]-Table1[[#This Row],[BudgetUSD]]</f>
        <v>538486.5</v>
      </c>
      <c r="S457" s="15">
        <f>Table1[[#This Row],[Profit]]/Table1[[#This Row],[BudgetUSD]]</f>
        <v>6.2600037309395076E-2</v>
      </c>
      <c r="T457" t="str">
        <f>IF(Table1[[#This Row],[ROI]]&gt;100%,"Hit","Flop")</f>
        <v>Flop</v>
      </c>
    </row>
    <row r="458" spans="1:20" x14ac:dyDescent="0.3">
      <c r="A458">
        <v>407</v>
      </c>
      <c r="B458" t="s">
        <v>784</v>
      </c>
      <c r="C458" t="s">
        <v>77</v>
      </c>
      <c r="D458">
        <v>1965</v>
      </c>
      <c r="E458" s="1">
        <v>23812</v>
      </c>
      <c r="F458" t="s">
        <v>23</v>
      </c>
      <c r="G458" s="2">
        <v>4647087.0599999996</v>
      </c>
      <c r="H458" s="2">
        <v>5998098.3200000003</v>
      </c>
      <c r="I458" s="2">
        <v>9121228.5099999998</v>
      </c>
      <c r="J458" s="2">
        <v>662672.42000000004</v>
      </c>
      <c r="K458" s="2">
        <v>2868397.15</v>
      </c>
      <c r="L458">
        <v>7.8</v>
      </c>
      <c r="M458">
        <v>71</v>
      </c>
      <c r="N458">
        <v>7775</v>
      </c>
      <c r="O458">
        <v>936</v>
      </c>
      <c r="P458" t="s">
        <v>136</v>
      </c>
      <c r="Q458" t="s">
        <v>785</v>
      </c>
      <c r="R458" s="2">
        <f>Table1[[#This Row],[Global_BoxOfficeUSD]]-Table1[[#This Row],[BudgetUSD]]</f>
        <v>4474141.45</v>
      </c>
      <c r="S458" s="15">
        <f>Table1[[#This Row],[Profit]]/Table1[[#This Row],[BudgetUSD]]</f>
        <v>0.96278408220740341</v>
      </c>
      <c r="T458" t="str">
        <f>IF(Table1[[#This Row],[ROI]]&gt;100%,"Hit","Flop")</f>
        <v>Flop</v>
      </c>
    </row>
    <row r="459" spans="1:20" x14ac:dyDescent="0.3">
      <c r="A459">
        <v>15</v>
      </c>
      <c r="B459" t="s">
        <v>66</v>
      </c>
      <c r="C459" t="s">
        <v>67</v>
      </c>
      <c r="D459">
        <v>1963</v>
      </c>
      <c r="E459" s="1">
        <v>23241</v>
      </c>
      <c r="F459" t="s">
        <v>23</v>
      </c>
      <c r="G459" s="2">
        <v>8501420.1600000001</v>
      </c>
      <c r="H459" s="2">
        <v>6211747.1900000004</v>
      </c>
      <c r="I459" s="2">
        <v>9097154.2699999996</v>
      </c>
      <c r="J459" s="2">
        <v>1623480.87</v>
      </c>
      <c r="K459" s="2">
        <v>2987040.85</v>
      </c>
      <c r="L459">
        <v>6.5</v>
      </c>
      <c r="M459">
        <v>78</v>
      </c>
      <c r="N459">
        <v>934</v>
      </c>
      <c r="O459">
        <v>1602</v>
      </c>
      <c r="P459" t="s">
        <v>68</v>
      </c>
      <c r="Q459" t="s">
        <v>69</v>
      </c>
      <c r="R459" s="2">
        <f>Table1[[#This Row],[Global_BoxOfficeUSD]]-Table1[[#This Row],[BudgetUSD]]</f>
        <v>595734.1099999994</v>
      </c>
      <c r="S459" s="15">
        <f>Table1[[#This Row],[Profit]]/Table1[[#This Row],[BudgetUSD]]</f>
        <v>7.0074657973380222E-2</v>
      </c>
      <c r="T459" t="str">
        <f>IF(Table1[[#This Row],[ROI]]&gt;100%,"Hit","Flop")</f>
        <v>Flop</v>
      </c>
    </row>
    <row r="460" spans="1:20" x14ac:dyDescent="0.3">
      <c r="A460">
        <v>428</v>
      </c>
      <c r="B460" t="s">
        <v>644</v>
      </c>
      <c r="C460" t="s">
        <v>18</v>
      </c>
      <c r="D460">
        <v>2018</v>
      </c>
      <c r="E460" s="1">
        <v>43239</v>
      </c>
      <c r="F460" t="s">
        <v>23</v>
      </c>
      <c r="G460" s="2">
        <v>3297412.64</v>
      </c>
      <c r="H460" s="2">
        <v>5900912.4900000002</v>
      </c>
      <c r="I460" s="2">
        <v>9071307.9399999995</v>
      </c>
      <c r="J460" s="2">
        <v>788250.69</v>
      </c>
      <c r="K460" s="2">
        <v>3294614.08</v>
      </c>
      <c r="L460">
        <v>6.8</v>
      </c>
      <c r="M460">
        <v>73</v>
      </c>
      <c r="N460">
        <v>5558</v>
      </c>
      <c r="O460">
        <v>447</v>
      </c>
      <c r="P460" t="s">
        <v>479</v>
      </c>
      <c r="Q460" t="s">
        <v>210</v>
      </c>
      <c r="R460" s="2">
        <f>Table1[[#This Row],[Global_BoxOfficeUSD]]-Table1[[#This Row],[BudgetUSD]]</f>
        <v>5773895.2999999989</v>
      </c>
      <c r="S460" s="15">
        <f>Table1[[#This Row],[Profit]]/Table1[[#This Row],[BudgetUSD]]</f>
        <v>1.7510381412257821</v>
      </c>
      <c r="T460" t="str">
        <f>IF(Table1[[#This Row],[ROI]]&gt;100%,"Hit","Flop")</f>
        <v>Hit</v>
      </c>
    </row>
    <row r="461" spans="1:20" x14ac:dyDescent="0.3">
      <c r="A461">
        <v>349</v>
      </c>
      <c r="B461" t="s">
        <v>704</v>
      </c>
      <c r="C461" t="s">
        <v>86</v>
      </c>
      <c r="D461">
        <v>2019</v>
      </c>
      <c r="E461" s="1">
        <v>43649</v>
      </c>
      <c r="F461" t="s">
        <v>23</v>
      </c>
      <c r="G461" s="2">
        <v>2013347.09</v>
      </c>
      <c r="H461" s="2">
        <v>5993824.2999999998</v>
      </c>
      <c r="I461" s="2">
        <v>9071006.5500000007</v>
      </c>
      <c r="J461" s="2">
        <v>1395925.91</v>
      </c>
      <c r="K461" s="2">
        <v>2686386.1</v>
      </c>
      <c r="L461">
        <v>7.2</v>
      </c>
      <c r="M461">
        <v>67</v>
      </c>
      <c r="N461">
        <v>3302</v>
      </c>
      <c r="O461">
        <v>160</v>
      </c>
      <c r="P461" t="s">
        <v>292</v>
      </c>
      <c r="Q461" t="s">
        <v>705</v>
      </c>
      <c r="R461" s="2">
        <f>Table1[[#This Row],[Global_BoxOfficeUSD]]-Table1[[#This Row],[BudgetUSD]]</f>
        <v>7057659.4600000009</v>
      </c>
      <c r="S461" s="15">
        <f>Table1[[#This Row],[Profit]]/Table1[[#This Row],[BudgetUSD]]</f>
        <v>3.5054360448103363</v>
      </c>
      <c r="T461" t="str">
        <f>IF(Table1[[#This Row],[ROI]]&gt;100%,"Hit","Flop")</f>
        <v>Hit</v>
      </c>
    </row>
    <row r="462" spans="1:20" x14ac:dyDescent="0.3">
      <c r="A462">
        <v>425</v>
      </c>
      <c r="B462" t="s">
        <v>809</v>
      </c>
      <c r="C462" t="s">
        <v>18</v>
      </c>
      <c r="D462">
        <v>1989</v>
      </c>
      <c r="E462" s="1">
        <v>32588</v>
      </c>
      <c r="F462" t="s">
        <v>139</v>
      </c>
      <c r="G462" s="2">
        <v>5430822.8300000001</v>
      </c>
      <c r="H462" s="2">
        <v>6140228.8200000003</v>
      </c>
      <c r="I462" s="2">
        <v>9063001.4100000001</v>
      </c>
      <c r="J462" s="2">
        <v>1701886.64</v>
      </c>
      <c r="K462" s="2">
        <v>3267783.89</v>
      </c>
      <c r="L462">
        <v>5.2</v>
      </c>
      <c r="M462">
        <v>54</v>
      </c>
      <c r="N462">
        <v>2968</v>
      </c>
      <c r="O462">
        <v>485</v>
      </c>
      <c r="P462" t="s">
        <v>264</v>
      </c>
      <c r="Q462" t="s">
        <v>810</v>
      </c>
      <c r="R462" s="2">
        <f>Table1[[#This Row],[Global_BoxOfficeUSD]]-Table1[[#This Row],[BudgetUSD]]</f>
        <v>3632178.58</v>
      </c>
      <c r="S462" s="15">
        <f>Table1[[#This Row],[Profit]]/Table1[[#This Row],[BudgetUSD]]</f>
        <v>0.66880815185790177</v>
      </c>
      <c r="T462" t="str">
        <f>IF(Table1[[#This Row],[ROI]]&gt;100%,"Hit","Flop")</f>
        <v>Flop</v>
      </c>
    </row>
    <row r="463" spans="1:20" x14ac:dyDescent="0.3">
      <c r="A463">
        <v>253</v>
      </c>
      <c r="B463" t="s">
        <v>575</v>
      </c>
      <c r="C463" t="s">
        <v>67</v>
      </c>
      <c r="D463">
        <v>2025</v>
      </c>
      <c r="E463" s="1">
        <v>45669</v>
      </c>
      <c r="F463" t="s">
        <v>23</v>
      </c>
      <c r="G463" s="2">
        <v>3981321.36</v>
      </c>
      <c r="H463" s="2">
        <v>5541755.1399999997</v>
      </c>
      <c r="I463" s="2">
        <v>9054806.25</v>
      </c>
      <c r="J463" s="2">
        <v>1569202.94</v>
      </c>
      <c r="K463" s="2">
        <v>2268207.15</v>
      </c>
      <c r="L463">
        <v>6.2</v>
      </c>
      <c r="M463">
        <v>43</v>
      </c>
      <c r="N463">
        <v>1894</v>
      </c>
      <c r="O463">
        <v>770</v>
      </c>
      <c r="P463" t="s">
        <v>576</v>
      </c>
      <c r="Q463" t="s">
        <v>28</v>
      </c>
      <c r="R463" s="2">
        <f>Table1[[#This Row],[Global_BoxOfficeUSD]]-Table1[[#This Row],[BudgetUSD]]</f>
        <v>5073484.8900000006</v>
      </c>
      <c r="S463" s="15">
        <f>Table1[[#This Row],[Profit]]/Table1[[#This Row],[BudgetUSD]]</f>
        <v>1.2743218723745529</v>
      </c>
      <c r="T463" t="str">
        <f>IF(Table1[[#This Row],[ROI]]&gt;100%,"Hit","Flop")</f>
        <v>Hit</v>
      </c>
    </row>
    <row r="464" spans="1:20" x14ac:dyDescent="0.3">
      <c r="A464">
        <v>339</v>
      </c>
      <c r="B464" t="s">
        <v>691</v>
      </c>
      <c r="C464" t="s">
        <v>67</v>
      </c>
      <c r="D464">
        <v>2021</v>
      </c>
      <c r="E464" s="1">
        <v>44558</v>
      </c>
      <c r="F464" t="s">
        <v>34</v>
      </c>
      <c r="G464" s="2">
        <v>9051272.4900000002</v>
      </c>
      <c r="H464" s="2">
        <v>4361124.4800000004</v>
      </c>
      <c r="I464" s="2">
        <v>9051272.4900000002</v>
      </c>
      <c r="J464" s="2">
        <v>1160374.6399999999</v>
      </c>
      <c r="K464" s="2">
        <v>1982761.09</v>
      </c>
      <c r="L464">
        <v>5.8</v>
      </c>
      <c r="M464">
        <v>67</v>
      </c>
      <c r="N464">
        <v>21032</v>
      </c>
      <c r="O464">
        <v>136</v>
      </c>
      <c r="P464" t="s">
        <v>133</v>
      </c>
      <c r="Q464" t="s">
        <v>495</v>
      </c>
      <c r="R464" s="2">
        <f>Table1[[#This Row],[Global_BoxOfficeUSD]]-Table1[[#This Row],[BudgetUSD]]</f>
        <v>0</v>
      </c>
      <c r="S464" s="15">
        <f>Table1[[#This Row],[Profit]]/Table1[[#This Row],[BudgetUSD]]</f>
        <v>0</v>
      </c>
      <c r="T464" t="str">
        <f>IF(Table1[[#This Row],[ROI]]&gt;100%,"Hit","Flop")</f>
        <v>Flop</v>
      </c>
    </row>
    <row r="465" spans="1:20" x14ac:dyDescent="0.3">
      <c r="A465">
        <v>625</v>
      </c>
      <c r="B465" t="s">
        <v>1042</v>
      </c>
      <c r="C465" t="s">
        <v>18</v>
      </c>
      <c r="D465">
        <v>1985</v>
      </c>
      <c r="E465" s="1">
        <v>31120</v>
      </c>
      <c r="F465" t="s">
        <v>23</v>
      </c>
      <c r="G465" s="2">
        <v>5025755.3</v>
      </c>
      <c r="H465" s="2">
        <v>4116189.17</v>
      </c>
      <c r="I465" s="2">
        <v>9025866.5299999993</v>
      </c>
      <c r="J465" s="2">
        <v>538347.47</v>
      </c>
      <c r="K465" s="2">
        <v>2045815.26</v>
      </c>
      <c r="L465">
        <v>8.8000000000000007</v>
      </c>
      <c r="M465">
        <v>95</v>
      </c>
      <c r="N465">
        <v>18348</v>
      </c>
      <c r="O465">
        <v>50</v>
      </c>
      <c r="P465" t="s">
        <v>530</v>
      </c>
      <c r="Q465" t="s">
        <v>806</v>
      </c>
      <c r="R465" s="2">
        <f>Table1[[#This Row],[Global_BoxOfficeUSD]]-Table1[[#This Row],[BudgetUSD]]</f>
        <v>4000111.2299999995</v>
      </c>
      <c r="S465" s="15">
        <f>Table1[[#This Row],[Profit]]/Table1[[#This Row],[BudgetUSD]]</f>
        <v>0.79592240195219999</v>
      </c>
      <c r="T465" t="str">
        <f>IF(Table1[[#This Row],[ROI]]&gt;100%,"Hit","Flop")</f>
        <v>Flop</v>
      </c>
    </row>
    <row r="466" spans="1:20" x14ac:dyDescent="0.3">
      <c r="A466">
        <v>627</v>
      </c>
      <c r="B466" t="s">
        <v>1044</v>
      </c>
      <c r="C466" t="s">
        <v>77</v>
      </c>
      <c r="D466">
        <v>2012</v>
      </c>
      <c r="E466" s="1">
        <v>41168</v>
      </c>
      <c r="F466" t="s">
        <v>318</v>
      </c>
      <c r="G466" s="2">
        <v>2602055.02</v>
      </c>
      <c r="H466" s="2">
        <v>4650234.3499999996</v>
      </c>
      <c r="I466" s="2">
        <v>9012758.1799999997</v>
      </c>
      <c r="J466" s="2">
        <v>1319355.26</v>
      </c>
      <c r="K466" s="2">
        <v>2458246.39</v>
      </c>
      <c r="L466">
        <v>5.8</v>
      </c>
      <c r="M466">
        <v>64</v>
      </c>
      <c r="N466">
        <v>1471</v>
      </c>
      <c r="O466">
        <v>2428</v>
      </c>
      <c r="P466" t="s">
        <v>192</v>
      </c>
      <c r="Q466" t="s">
        <v>303</v>
      </c>
      <c r="R466" s="2">
        <f>Table1[[#This Row],[Global_BoxOfficeUSD]]-Table1[[#This Row],[BudgetUSD]]</f>
        <v>6410703.1600000001</v>
      </c>
      <c r="S466" s="15">
        <f>Table1[[#This Row],[Profit]]/Table1[[#This Row],[BudgetUSD]]</f>
        <v>2.4637077658719146</v>
      </c>
      <c r="T466" t="str">
        <f>IF(Table1[[#This Row],[ROI]]&gt;100%,"Hit","Flop")</f>
        <v>Hit</v>
      </c>
    </row>
    <row r="467" spans="1:20" x14ac:dyDescent="0.3">
      <c r="A467">
        <v>581</v>
      </c>
      <c r="B467" t="s">
        <v>997</v>
      </c>
      <c r="C467" t="s">
        <v>38</v>
      </c>
      <c r="D467">
        <v>2022</v>
      </c>
      <c r="E467" s="1">
        <v>44791</v>
      </c>
      <c r="F467" t="s">
        <v>139</v>
      </c>
      <c r="G467" s="2">
        <v>2413086.4300000002</v>
      </c>
      <c r="H467" s="2">
        <v>3973188.78</v>
      </c>
      <c r="I467" s="2">
        <v>8984017.2899999991</v>
      </c>
      <c r="J467" s="2">
        <v>472556.32</v>
      </c>
      <c r="K467" s="2">
        <v>1980530.04</v>
      </c>
      <c r="L467">
        <v>7.1</v>
      </c>
      <c r="M467">
        <v>97</v>
      </c>
      <c r="N467">
        <v>1687</v>
      </c>
      <c r="O467">
        <v>210</v>
      </c>
      <c r="P467" t="s">
        <v>200</v>
      </c>
      <c r="Q467" t="s">
        <v>431</v>
      </c>
      <c r="R467" s="2">
        <f>Table1[[#This Row],[Global_BoxOfficeUSD]]-Table1[[#This Row],[BudgetUSD]]</f>
        <v>6570930.8599999994</v>
      </c>
      <c r="S467" s="15">
        <f>Table1[[#This Row],[Profit]]/Table1[[#This Row],[BudgetUSD]]</f>
        <v>2.7230399948832331</v>
      </c>
      <c r="T467" t="str">
        <f>IF(Table1[[#This Row],[ROI]]&gt;100%,"Hit","Flop")</f>
        <v>Hit</v>
      </c>
    </row>
    <row r="468" spans="1:20" x14ac:dyDescent="0.3">
      <c r="A468">
        <v>526</v>
      </c>
      <c r="B468" t="s">
        <v>166</v>
      </c>
      <c r="C468" t="s">
        <v>67</v>
      </c>
      <c r="D468">
        <v>2002</v>
      </c>
      <c r="E468" s="1">
        <v>37267</v>
      </c>
      <c r="F468" t="s">
        <v>23</v>
      </c>
      <c r="G468" s="2">
        <v>2048439.76</v>
      </c>
      <c r="H468" s="2">
        <v>4927377.78</v>
      </c>
      <c r="I468" s="2">
        <v>8965668.6099999994</v>
      </c>
      <c r="J468" s="2">
        <v>1021711.97</v>
      </c>
      <c r="K468" s="2">
        <v>2625645.2599999998</v>
      </c>
      <c r="L468">
        <v>6</v>
      </c>
      <c r="M468">
        <v>55</v>
      </c>
      <c r="N468">
        <v>3997</v>
      </c>
      <c r="O468">
        <v>929</v>
      </c>
      <c r="P468" t="s">
        <v>264</v>
      </c>
      <c r="Q468" t="s">
        <v>59</v>
      </c>
      <c r="R468" s="2">
        <f>Table1[[#This Row],[Global_BoxOfficeUSD]]-Table1[[#This Row],[BudgetUSD]]</f>
        <v>6917228.8499999996</v>
      </c>
      <c r="S468" s="15">
        <f>Table1[[#This Row],[Profit]]/Table1[[#This Row],[BudgetUSD]]</f>
        <v>3.3768280547337159</v>
      </c>
      <c r="T468" t="str">
        <f>IF(Table1[[#This Row],[ROI]]&gt;100%,"Hit","Flop")</f>
        <v>Hit</v>
      </c>
    </row>
    <row r="469" spans="1:20" x14ac:dyDescent="0.3">
      <c r="A469">
        <v>479</v>
      </c>
      <c r="B469" t="s">
        <v>876</v>
      </c>
      <c r="C469" t="s">
        <v>18</v>
      </c>
      <c r="D469">
        <v>1950</v>
      </c>
      <c r="E469" s="1">
        <v>18366</v>
      </c>
      <c r="F469" t="s">
        <v>23</v>
      </c>
      <c r="G469" s="2">
        <v>1911022.98</v>
      </c>
      <c r="H469" s="2">
        <v>3607312.96</v>
      </c>
      <c r="I469" s="2">
        <v>8956253.9800000004</v>
      </c>
      <c r="J469" s="2">
        <v>438458.28</v>
      </c>
      <c r="K469" s="2">
        <v>2148684.79</v>
      </c>
      <c r="L469">
        <v>7.1</v>
      </c>
      <c r="M469">
        <v>68</v>
      </c>
      <c r="N469">
        <v>1233</v>
      </c>
      <c r="O469">
        <v>101</v>
      </c>
      <c r="P469" t="s">
        <v>666</v>
      </c>
      <c r="Q469" t="s">
        <v>141</v>
      </c>
      <c r="R469" s="2">
        <f>Table1[[#This Row],[Global_BoxOfficeUSD]]-Table1[[#This Row],[BudgetUSD]]</f>
        <v>7045231</v>
      </c>
      <c r="S469" s="15">
        <f>Table1[[#This Row],[Profit]]/Table1[[#This Row],[BudgetUSD]]</f>
        <v>3.6866280906784281</v>
      </c>
      <c r="T469" t="str">
        <f>IF(Table1[[#This Row],[ROI]]&gt;100%,"Hit","Flop")</f>
        <v>Hit</v>
      </c>
    </row>
    <row r="470" spans="1:20" x14ac:dyDescent="0.3">
      <c r="A470">
        <v>648</v>
      </c>
      <c r="B470" t="s">
        <v>291</v>
      </c>
      <c r="C470" t="s">
        <v>77</v>
      </c>
      <c r="D470">
        <v>2020</v>
      </c>
      <c r="E470" s="1">
        <v>44107</v>
      </c>
      <c r="F470" t="s">
        <v>23</v>
      </c>
      <c r="G470" s="2">
        <v>5602198.8099999996</v>
      </c>
      <c r="H470" s="2">
        <v>4666530.03</v>
      </c>
      <c r="I470" s="2">
        <v>8918254.0899999999</v>
      </c>
      <c r="J470" s="2">
        <v>508968.21</v>
      </c>
      <c r="K470" s="2">
        <v>2036435.19</v>
      </c>
      <c r="L470">
        <v>6.9</v>
      </c>
      <c r="M470">
        <v>75</v>
      </c>
      <c r="N470">
        <v>12345</v>
      </c>
      <c r="O470">
        <v>1755</v>
      </c>
      <c r="P470" t="s">
        <v>967</v>
      </c>
      <c r="Q470" t="s">
        <v>198</v>
      </c>
      <c r="R470" s="2">
        <f>Table1[[#This Row],[Global_BoxOfficeUSD]]-Table1[[#This Row],[BudgetUSD]]</f>
        <v>3316055.2800000003</v>
      </c>
      <c r="S470" s="15">
        <f>Table1[[#This Row],[Profit]]/Table1[[#This Row],[BudgetUSD]]</f>
        <v>0.59192031423104752</v>
      </c>
      <c r="T470" t="str">
        <f>IF(Table1[[#This Row],[ROI]]&gt;100%,"Hit","Flop")</f>
        <v>Flop</v>
      </c>
    </row>
    <row r="471" spans="1:20" x14ac:dyDescent="0.3">
      <c r="A471">
        <v>476</v>
      </c>
      <c r="B471" t="s">
        <v>873</v>
      </c>
      <c r="C471" t="s">
        <v>38</v>
      </c>
      <c r="D471">
        <v>1979</v>
      </c>
      <c r="E471" s="1">
        <v>29040</v>
      </c>
      <c r="F471" t="s">
        <v>34</v>
      </c>
      <c r="G471" s="2">
        <v>3478154.2</v>
      </c>
      <c r="H471" s="2">
        <v>5786568.4699999997</v>
      </c>
      <c r="I471" s="2">
        <v>8879828.4700000007</v>
      </c>
      <c r="J471" s="2">
        <v>1069732.6299999999</v>
      </c>
      <c r="K471" s="2">
        <v>3203227.35</v>
      </c>
      <c r="L471">
        <v>5.4</v>
      </c>
      <c r="M471">
        <v>57</v>
      </c>
      <c r="N471">
        <v>2931</v>
      </c>
      <c r="O471">
        <v>402</v>
      </c>
      <c r="P471" t="s">
        <v>167</v>
      </c>
      <c r="Q471" t="s">
        <v>834</v>
      </c>
      <c r="R471" s="2">
        <f>Table1[[#This Row],[Global_BoxOfficeUSD]]-Table1[[#This Row],[BudgetUSD]]</f>
        <v>5401674.2700000005</v>
      </c>
      <c r="S471" s="15">
        <f>Table1[[#This Row],[Profit]]/Table1[[#This Row],[BudgetUSD]]</f>
        <v>1.5530289801412485</v>
      </c>
      <c r="T471" t="str">
        <f>IF(Table1[[#This Row],[ROI]]&gt;100%,"Hit","Flop")</f>
        <v>Hit</v>
      </c>
    </row>
    <row r="472" spans="1:20" x14ac:dyDescent="0.3">
      <c r="A472">
        <v>975</v>
      </c>
      <c r="B472" t="s">
        <v>1385</v>
      </c>
      <c r="C472" t="s">
        <v>67</v>
      </c>
      <c r="D472">
        <v>1999</v>
      </c>
      <c r="E472" s="1">
        <v>36523</v>
      </c>
      <c r="F472" t="s">
        <v>23</v>
      </c>
      <c r="G472" s="2">
        <v>2931870.71</v>
      </c>
      <c r="H472" s="2">
        <v>3861722.96</v>
      </c>
      <c r="I472" s="2">
        <v>8868824.6999999993</v>
      </c>
      <c r="J472" s="2">
        <v>521063.25</v>
      </c>
      <c r="K472" s="2">
        <v>1856140.41</v>
      </c>
      <c r="L472">
        <v>4.3</v>
      </c>
      <c r="M472">
        <v>54</v>
      </c>
      <c r="N472">
        <v>11967</v>
      </c>
      <c r="O472">
        <v>310</v>
      </c>
      <c r="P472" t="s">
        <v>666</v>
      </c>
      <c r="Q472" t="s">
        <v>516</v>
      </c>
      <c r="R472" s="2">
        <f>Table1[[#This Row],[Global_BoxOfficeUSD]]-Table1[[#This Row],[BudgetUSD]]</f>
        <v>5936953.9899999993</v>
      </c>
      <c r="S472" s="15">
        <f>Table1[[#This Row],[Profit]]/Table1[[#This Row],[BudgetUSD]]</f>
        <v>2.0249712819021268</v>
      </c>
      <c r="T472" t="str">
        <f>IF(Table1[[#This Row],[ROI]]&gt;100%,"Hit","Flop")</f>
        <v>Hit</v>
      </c>
    </row>
    <row r="473" spans="1:20" x14ac:dyDescent="0.3">
      <c r="A473">
        <v>305</v>
      </c>
      <c r="B473" t="s">
        <v>648</v>
      </c>
      <c r="C473" t="s">
        <v>67</v>
      </c>
      <c r="D473">
        <v>1983</v>
      </c>
      <c r="E473" s="1">
        <v>30472</v>
      </c>
      <c r="F473" t="s">
        <v>23</v>
      </c>
      <c r="G473" s="2">
        <v>6117676.6200000001</v>
      </c>
      <c r="H473" s="2">
        <v>6190861.9400000004</v>
      </c>
      <c r="I473" s="2">
        <v>8852739.8900000006</v>
      </c>
      <c r="J473" s="2">
        <v>987212.75</v>
      </c>
      <c r="K473" s="2">
        <v>2860587.47</v>
      </c>
      <c r="L473">
        <v>7.2</v>
      </c>
      <c r="M473">
        <v>89</v>
      </c>
      <c r="N473">
        <v>1920</v>
      </c>
      <c r="O473">
        <v>2066</v>
      </c>
      <c r="P473" t="s">
        <v>649</v>
      </c>
      <c r="Q473" t="s">
        <v>650</v>
      </c>
      <c r="R473" s="2">
        <f>Table1[[#This Row],[Global_BoxOfficeUSD]]-Table1[[#This Row],[BudgetUSD]]</f>
        <v>2735063.2700000005</v>
      </c>
      <c r="S473" s="15">
        <f>Table1[[#This Row],[Profit]]/Table1[[#This Row],[BudgetUSD]]</f>
        <v>0.44707548958349491</v>
      </c>
      <c r="T473" t="str">
        <f>IF(Table1[[#This Row],[ROI]]&gt;100%,"Hit","Flop")</f>
        <v>Flop</v>
      </c>
    </row>
    <row r="474" spans="1:20" x14ac:dyDescent="0.3">
      <c r="A474">
        <v>840</v>
      </c>
      <c r="B474" t="s">
        <v>1258</v>
      </c>
      <c r="C474" t="s">
        <v>38</v>
      </c>
      <c r="D474">
        <v>1977</v>
      </c>
      <c r="E474" s="1">
        <v>28307</v>
      </c>
      <c r="F474" t="s">
        <v>23</v>
      </c>
      <c r="G474" s="2">
        <v>3373569.54</v>
      </c>
      <c r="H474" s="2">
        <v>5033390.47</v>
      </c>
      <c r="I474" s="2">
        <v>8799614.8800000008</v>
      </c>
      <c r="J474" s="2">
        <v>1186935.93</v>
      </c>
      <c r="K474" s="2">
        <v>3003570.95</v>
      </c>
      <c r="L474">
        <v>8.1</v>
      </c>
      <c r="M474">
        <v>68</v>
      </c>
      <c r="N474">
        <v>1526</v>
      </c>
      <c r="O474">
        <v>6381</v>
      </c>
      <c r="P474" t="s">
        <v>690</v>
      </c>
      <c r="Q474" t="s">
        <v>25</v>
      </c>
      <c r="R474" s="2">
        <f>Table1[[#This Row],[Global_BoxOfficeUSD]]-Table1[[#This Row],[BudgetUSD]]</f>
        <v>5426045.3400000008</v>
      </c>
      <c r="S474" s="15">
        <f>Table1[[#This Row],[Profit]]/Table1[[#This Row],[BudgetUSD]]</f>
        <v>1.6083988415427775</v>
      </c>
      <c r="T474" t="str">
        <f>IF(Table1[[#This Row],[ROI]]&gt;100%,"Hit","Flop")</f>
        <v>Hit</v>
      </c>
    </row>
    <row r="475" spans="1:20" x14ac:dyDescent="0.3">
      <c r="A475">
        <v>952</v>
      </c>
      <c r="B475" t="s">
        <v>1361</v>
      </c>
      <c r="C475" t="s">
        <v>38</v>
      </c>
      <c r="D475">
        <v>1987</v>
      </c>
      <c r="E475" s="1">
        <v>32118</v>
      </c>
      <c r="F475" t="s">
        <v>23</v>
      </c>
      <c r="G475" s="2">
        <v>2440547.86</v>
      </c>
      <c r="H475" s="2">
        <v>4222142.26</v>
      </c>
      <c r="I475" s="2">
        <v>8791971.0299999993</v>
      </c>
      <c r="J475" s="2">
        <v>725895.62</v>
      </c>
      <c r="K475" s="2">
        <v>2472341.65</v>
      </c>
      <c r="L475">
        <v>8.1</v>
      </c>
      <c r="M475">
        <v>69</v>
      </c>
      <c r="N475">
        <v>7429</v>
      </c>
      <c r="O475">
        <v>56</v>
      </c>
      <c r="P475" t="s">
        <v>385</v>
      </c>
      <c r="Q475" t="s">
        <v>232</v>
      </c>
      <c r="R475" s="2">
        <f>Table1[[#This Row],[Global_BoxOfficeUSD]]-Table1[[#This Row],[BudgetUSD]]</f>
        <v>6351423.1699999999</v>
      </c>
      <c r="S475" s="15">
        <f>Table1[[#This Row],[Profit]]/Table1[[#This Row],[BudgetUSD]]</f>
        <v>2.6024579456515964</v>
      </c>
      <c r="T475" t="str">
        <f>IF(Table1[[#This Row],[ROI]]&gt;100%,"Hit","Flop")</f>
        <v>Hit</v>
      </c>
    </row>
    <row r="476" spans="1:20" x14ac:dyDescent="0.3">
      <c r="A476">
        <v>815</v>
      </c>
      <c r="B476" t="s">
        <v>1170</v>
      </c>
      <c r="C476" t="s">
        <v>18</v>
      </c>
      <c r="D476">
        <v>2022</v>
      </c>
      <c r="E476" s="1">
        <v>44642</v>
      </c>
      <c r="F476" t="s">
        <v>23</v>
      </c>
      <c r="G476" s="2">
        <v>8790833.9499999993</v>
      </c>
      <c r="H476" s="2">
        <v>4490156.25</v>
      </c>
      <c r="I476" s="2">
        <v>8790833.9499999993</v>
      </c>
      <c r="J476" s="2">
        <v>794333.25</v>
      </c>
      <c r="K476" s="2">
        <v>2246927.9500000002</v>
      </c>
      <c r="L476">
        <v>7.7</v>
      </c>
      <c r="M476">
        <v>100</v>
      </c>
      <c r="N476">
        <v>30284</v>
      </c>
      <c r="O476">
        <v>78</v>
      </c>
      <c r="P476" t="s">
        <v>126</v>
      </c>
      <c r="Q476" t="s">
        <v>495</v>
      </c>
      <c r="R476" s="2">
        <f>Table1[[#This Row],[Global_BoxOfficeUSD]]-Table1[[#This Row],[BudgetUSD]]</f>
        <v>0</v>
      </c>
      <c r="S476" s="15">
        <f>Table1[[#This Row],[Profit]]/Table1[[#This Row],[BudgetUSD]]</f>
        <v>0</v>
      </c>
      <c r="T476" t="str">
        <f>IF(Table1[[#This Row],[ROI]]&gt;100%,"Hit","Flop")</f>
        <v>Flop</v>
      </c>
    </row>
    <row r="477" spans="1:20" x14ac:dyDescent="0.3">
      <c r="A477">
        <v>116</v>
      </c>
      <c r="B477" t="s">
        <v>323</v>
      </c>
      <c r="C477" t="s">
        <v>18</v>
      </c>
      <c r="D477">
        <v>1997</v>
      </c>
      <c r="E477" s="1">
        <v>35662</v>
      </c>
      <c r="F477" t="s">
        <v>23</v>
      </c>
      <c r="G477" s="2">
        <v>2489181.02</v>
      </c>
      <c r="H477" s="2">
        <v>4477633.53</v>
      </c>
      <c r="I477" s="2">
        <v>8755541.2100000009</v>
      </c>
      <c r="J477" s="2">
        <v>1136240.81</v>
      </c>
      <c r="K477" s="2">
        <v>2534272.41</v>
      </c>
      <c r="L477">
        <v>7.3</v>
      </c>
      <c r="M477">
        <v>76</v>
      </c>
      <c r="N477">
        <v>29252</v>
      </c>
      <c r="O477">
        <v>353</v>
      </c>
      <c r="P477" t="s">
        <v>219</v>
      </c>
      <c r="Q477" t="s">
        <v>324</v>
      </c>
      <c r="R477" s="2">
        <f>Table1[[#This Row],[Global_BoxOfficeUSD]]-Table1[[#This Row],[BudgetUSD]]</f>
        <v>6266360.1900000013</v>
      </c>
      <c r="S477" s="15">
        <f>Table1[[#This Row],[Profit]]/Table1[[#This Row],[BudgetUSD]]</f>
        <v>2.5174385228118128</v>
      </c>
      <c r="T477" t="str">
        <f>IF(Table1[[#This Row],[ROI]]&gt;100%,"Hit","Flop")</f>
        <v>Hit</v>
      </c>
    </row>
    <row r="478" spans="1:20" x14ac:dyDescent="0.3">
      <c r="A478">
        <v>555</v>
      </c>
      <c r="B478" t="s">
        <v>966</v>
      </c>
      <c r="C478" t="s">
        <v>18</v>
      </c>
      <c r="D478">
        <v>2020</v>
      </c>
      <c r="E478" s="1">
        <v>44144</v>
      </c>
      <c r="F478" t="s">
        <v>23</v>
      </c>
      <c r="G478" s="2">
        <v>5527110.3099999996</v>
      </c>
      <c r="H478" s="2">
        <v>5328145.58</v>
      </c>
      <c r="I478" s="2">
        <v>8709799.0999999996</v>
      </c>
      <c r="J478" s="2">
        <v>1545619.52</v>
      </c>
      <c r="K478" s="2">
        <v>2974491.33</v>
      </c>
      <c r="L478">
        <v>7.3</v>
      </c>
      <c r="M478">
        <v>70</v>
      </c>
      <c r="N478">
        <v>1780</v>
      </c>
      <c r="O478">
        <v>50</v>
      </c>
      <c r="P478" t="s">
        <v>967</v>
      </c>
      <c r="Q478" t="s">
        <v>968</v>
      </c>
      <c r="R478" s="2">
        <f>Table1[[#This Row],[Global_BoxOfficeUSD]]-Table1[[#This Row],[BudgetUSD]]</f>
        <v>3182688.79</v>
      </c>
      <c r="S478" s="15">
        <f>Table1[[#This Row],[Profit]]/Table1[[#This Row],[BudgetUSD]]</f>
        <v>0.57583232674797113</v>
      </c>
      <c r="T478" t="str">
        <f>IF(Table1[[#This Row],[ROI]]&gt;100%,"Hit","Flop")</f>
        <v>Flop</v>
      </c>
    </row>
    <row r="479" spans="1:20" x14ac:dyDescent="0.3">
      <c r="A479">
        <v>566</v>
      </c>
      <c r="B479" t="s">
        <v>979</v>
      </c>
      <c r="C479" t="s">
        <v>77</v>
      </c>
      <c r="D479">
        <v>1985</v>
      </c>
      <c r="E479" s="1">
        <v>31311</v>
      </c>
      <c r="F479" t="s">
        <v>139</v>
      </c>
      <c r="G479" s="2">
        <v>4397537.92</v>
      </c>
      <c r="H479" s="2">
        <v>5481982.1799999997</v>
      </c>
      <c r="I479" s="2">
        <v>8704735.1199999992</v>
      </c>
      <c r="J479" s="2">
        <v>1208938.02</v>
      </c>
      <c r="K479" s="2">
        <v>2636218.35</v>
      </c>
      <c r="L479">
        <v>8.5</v>
      </c>
      <c r="M479">
        <v>99</v>
      </c>
      <c r="N479">
        <v>335</v>
      </c>
      <c r="O479">
        <v>416</v>
      </c>
      <c r="P479" t="s">
        <v>450</v>
      </c>
      <c r="Q479" t="s">
        <v>282</v>
      </c>
      <c r="R479" s="2">
        <f>Table1[[#This Row],[Global_BoxOfficeUSD]]-Table1[[#This Row],[BudgetUSD]]</f>
        <v>4307197.1999999993</v>
      </c>
      <c r="S479" s="15">
        <f>Table1[[#This Row],[Profit]]/Table1[[#This Row],[BudgetUSD]]</f>
        <v>0.97945652279901185</v>
      </c>
      <c r="T479" t="str">
        <f>IF(Table1[[#This Row],[ROI]]&gt;100%,"Hit","Flop")</f>
        <v>Flop</v>
      </c>
    </row>
    <row r="480" spans="1:20" x14ac:dyDescent="0.3">
      <c r="A480">
        <v>189</v>
      </c>
      <c r="B480" t="s">
        <v>468</v>
      </c>
      <c r="C480" t="s">
        <v>38</v>
      </c>
      <c r="D480">
        <v>2004</v>
      </c>
      <c r="E480" s="1">
        <v>38340</v>
      </c>
      <c r="F480" t="s">
        <v>23</v>
      </c>
      <c r="G480" s="2">
        <v>8561421.5899999999</v>
      </c>
      <c r="H480" s="2">
        <v>5263710.76</v>
      </c>
      <c r="I480" s="2">
        <v>8561421.5899999999</v>
      </c>
      <c r="J480" s="2">
        <v>1000869.27</v>
      </c>
      <c r="K480" s="2">
        <v>2115486.46</v>
      </c>
      <c r="L480">
        <v>6.6</v>
      </c>
      <c r="M480">
        <v>64</v>
      </c>
      <c r="N480">
        <v>18340</v>
      </c>
      <c r="O480">
        <v>7701</v>
      </c>
      <c r="P480" t="s">
        <v>356</v>
      </c>
      <c r="Q480" t="s">
        <v>469</v>
      </c>
      <c r="R480" s="2">
        <f>Table1[[#This Row],[Global_BoxOfficeUSD]]-Table1[[#This Row],[BudgetUSD]]</f>
        <v>0</v>
      </c>
      <c r="S480" s="15">
        <f>Table1[[#This Row],[Profit]]/Table1[[#This Row],[BudgetUSD]]</f>
        <v>0</v>
      </c>
      <c r="T480" t="str">
        <f>IF(Table1[[#This Row],[ROI]]&gt;100%,"Hit","Flop")</f>
        <v>Flop</v>
      </c>
    </row>
    <row r="481" spans="1:20" x14ac:dyDescent="0.3">
      <c r="A481">
        <v>482</v>
      </c>
      <c r="B481" t="s">
        <v>880</v>
      </c>
      <c r="C481" t="s">
        <v>18</v>
      </c>
      <c r="D481">
        <v>2008</v>
      </c>
      <c r="E481" s="1">
        <v>39568</v>
      </c>
      <c r="F481" t="s">
        <v>23</v>
      </c>
      <c r="G481" s="2">
        <v>1716132.22</v>
      </c>
      <c r="H481" s="2">
        <v>4453204.84</v>
      </c>
      <c r="I481" s="2">
        <v>8534022.1600000001</v>
      </c>
      <c r="J481" s="2">
        <v>766331.5</v>
      </c>
      <c r="K481" s="2">
        <v>2213156.5299999998</v>
      </c>
      <c r="L481">
        <v>7.4</v>
      </c>
      <c r="M481">
        <v>74</v>
      </c>
      <c r="N481">
        <v>824</v>
      </c>
      <c r="O481">
        <v>28730</v>
      </c>
      <c r="P481" t="s">
        <v>865</v>
      </c>
      <c r="Q481" t="s">
        <v>627</v>
      </c>
      <c r="R481" s="2">
        <f>Table1[[#This Row],[Global_BoxOfficeUSD]]-Table1[[#This Row],[BudgetUSD]]</f>
        <v>6817889.9400000004</v>
      </c>
      <c r="S481" s="15">
        <f>Table1[[#This Row],[Profit]]/Table1[[#This Row],[BudgetUSD]]</f>
        <v>3.9728232245415218</v>
      </c>
      <c r="T481" t="str">
        <f>IF(Table1[[#This Row],[ROI]]&gt;100%,"Hit","Flop")</f>
        <v>Hit</v>
      </c>
    </row>
    <row r="482" spans="1:20" x14ac:dyDescent="0.3">
      <c r="A482">
        <v>314</v>
      </c>
      <c r="B482" t="s">
        <v>659</v>
      </c>
      <c r="C482" t="s">
        <v>38</v>
      </c>
      <c r="D482">
        <v>1978</v>
      </c>
      <c r="E482" s="1">
        <v>28787</v>
      </c>
      <c r="F482" t="s">
        <v>23</v>
      </c>
      <c r="G482" s="2">
        <v>6042802.5599999996</v>
      </c>
      <c r="H482" s="2">
        <v>3628302.01</v>
      </c>
      <c r="I482" s="2">
        <v>8436005.4199999999</v>
      </c>
      <c r="J482" s="2">
        <v>970154.61</v>
      </c>
      <c r="K482" s="2">
        <v>2089187.17</v>
      </c>
      <c r="L482">
        <v>6.3</v>
      </c>
      <c r="M482">
        <v>62</v>
      </c>
      <c r="N482">
        <v>192</v>
      </c>
      <c r="O482">
        <v>8423</v>
      </c>
      <c r="P482" t="s">
        <v>184</v>
      </c>
      <c r="Q482" t="s">
        <v>244</v>
      </c>
      <c r="R482" s="2">
        <f>Table1[[#This Row],[Global_BoxOfficeUSD]]-Table1[[#This Row],[BudgetUSD]]</f>
        <v>2393202.8600000003</v>
      </c>
      <c r="S482" s="15">
        <f>Table1[[#This Row],[Profit]]/Table1[[#This Row],[BudgetUSD]]</f>
        <v>0.39604187564254961</v>
      </c>
      <c r="T482" t="str">
        <f>IF(Table1[[#This Row],[ROI]]&gt;100%,"Hit","Flop")</f>
        <v>Flop</v>
      </c>
    </row>
    <row r="483" spans="1:20" x14ac:dyDescent="0.3">
      <c r="A483">
        <v>590</v>
      </c>
      <c r="B483" t="s">
        <v>1005</v>
      </c>
      <c r="C483" t="s">
        <v>86</v>
      </c>
      <c r="D483">
        <v>1980</v>
      </c>
      <c r="E483" s="1">
        <v>29403</v>
      </c>
      <c r="F483" t="s">
        <v>34</v>
      </c>
      <c r="G483" s="2">
        <v>6683655.1799999997</v>
      </c>
      <c r="H483" s="2">
        <v>5339486.25</v>
      </c>
      <c r="I483" s="2">
        <v>8395382.6999999993</v>
      </c>
      <c r="J483" s="2">
        <v>1094126.98</v>
      </c>
      <c r="K483" s="2">
        <v>2579523.2999999998</v>
      </c>
      <c r="L483">
        <v>6.7</v>
      </c>
      <c r="M483">
        <v>58</v>
      </c>
      <c r="N483">
        <v>3347</v>
      </c>
      <c r="O483">
        <v>3687</v>
      </c>
      <c r="P483" t="s">
        <v>530</v>
      </c>
      <c r="Q483" t="s">
        <v>196</v>
      </c>
      <c r="R483" s="2">
        <f>Table1[[#This Row],[Global_BoxOfficeUSD]]-Table1[[#This Row],[BudgetUSD]]</f>
        <v>1711727.5199999996</v>
      </c>
      <c r="S483" s="15">
        <f>Table1[[#This Row],[Profit]]/Table1[[#This Row],[BudgetUSD]]</f>
        <v>0.2561064977023545</v>
      </c>
      <c r="T483" t="str">
        <f>IF(Table1[[#This Row],[ROI]]&gt;100%,"Hit","Flop")</f>
        <v>Flop</v>
      </c>
    </row>
    <row r="484" spans="1:20" x14ac:dyDescent="0.3">
      <c r="A484">
        <v>569</v>
      </c>
      <c r="B484" t="s">
        <v>981</v>
      </c>
      <c r="C484" t="s">
        <v>33</v>
      </c>
      <c r="D484">
        <v>2002</v>
      </c>
      <c r="E484" s="1">
        <v>37273</v>
      </c>
      <c r="F484" t="s">
        <v>23</v>
      </c>
      <c r="G484" s="2">
        <v>2181000.9300000002</v>
      </c>
      <c r="H484" s="2">
        <v>5297147.28</v>
      </c>
      <c r="I484" s="2">
        <v>8394386.2599999998</v>
      </c>
      <c r="J484" s="2">
        <v>1192409.29</v>
      </c>
      <c r="K484" s="2">
        <v>2851509.79</v>
      </c>
      <c r="L484">
        <v>6.9</v>
      </c>
      <c r="M484">
        <v>65</v>
      </c>
      <c r="N484">
        <v>1321</v>
      </c>
      <c r="O484">
        <v>228</v>
      </c>
      <c r="P484" t="s">
        <v>310</v>
      </c>
      <c r="Q484" t="s">
        <v>982</v>
      </c>
      <c r="R484" s="2">
        <f>Table1[[#This Row],[Global_BoxOfficeUSD]]-Table1[[#This Row],[BudgetUSD]]</f>
        <v>6213385.3300000001</v>
      </c>
      <c r="S484" s="15">
        <f>Table1[[#This Row],[Profit]]/Table1[[#This Row],[BudgetUSD]]</f>
        <v>2.8488687210234245</v>
      </c>
      <c r="T484" t="str">
        <f>IF(Table1[[#This Row],[ROI]]&gt;100%,"Hit","Flop")</f>
        <v>Hit</v>
      </c>
    </row>
    <row r="485" spans="1:20" x14ac:dyDescent="0.3">
      <c r="A485">
        <v>475</v>
      </c>
      <c r="B485" t="s">
        <v>872</v>
      </c>
      <c r="C485" t="s">
        <v>77</v>
      </c>
      <c r="D485">
        <v>2025</v>
      </c>
      <c r="E485" s="1">
        <v>45904</v>
      </c>
      <c r="F485" t="s">
        <v>23</v>
      </c>
      <c r="G485" s="2">
        <v>2839466.88</v>
      </c>
      <c r="H485" s="2">
        <v>4500782.3499999996</v>
      </c>
      <c r="I485" s="2">
        <v>8390967.4100000001</v>
      </c>
      <c r="J485" s="2">
        <v>990063</v>
      </c>
      <c r="K485" s="2">
        <v>1834414.73</v>
      </c>
      <c r="L485">
        <v>5.7</v>
      </c>
      <c r="M485">
        <v>53</v>
      </c>
      <c r="N485">
        <v>7952</v>
      </c>
      <c r="O485">
        <v>278</v>
      </c>
      <c r="P485" t="s">
        <v>224</v>
      </c>
      <c r="Q485" t="s">
        <v>347</v>
      </c>
      <c r="R485" s="2">
        <f>Table1[[#This Row],[Global_BoxOfficeUSD]]-Table1[[#This Row],[BudgetUSD]]</f>
        <v>5551500.5300000003</v>
      </c>
      <c r="S485" s="15">
        <f>Table1[[#This Row],[Profit]]/Table1[[#This Row],[BudgetUSD]]</f>
        <v>1.9551207197035525</v>
      </c>
      <c r="T485" t="str">
        <f>IF(Table1[[#This Row],[ROI]]&gt;100%,"Hit","Flop")</f>
        <v>Hit</v>
      </c>
    </row>
    <row r="486" spans="1:20" x14ac:dyDescent="0.3">
      <c r="A486">
        <v>713</v>
      </c>
      <c r="B486" t="s">
        <v>1132</v>
      </c>
      <c r="C486" t="s">
        <v>38</v>
      </c>
      <c r="D486">
        <v>2011</v>
      </c>
      <c r="E486" s="1">
        <v>40596</v>
      </c>
      <c r="F486" t="s">
        <v>23</v>
      </c>
      <c r="G486" s="2">
        <v>3093752.07</v>
      </c>
      <c r="H486" s="2">
        <v>4883197.6100000003</v>
      </c>
      <c r="I486" s="2">
        <v>8374253.6399999997</v>
      </c>
      <c r="J486" s="2">
        <v>855606.14</v>
      </c>
      <c r="K486" s="2">
        <v>2293255.23</v>
      </c>
      <c r="L486">
        <v>8.8000000000000007</v>
      </c>
      <c r="M486">
        <v>87</v>
      </c>
      <c r="N486">
        <v>3524</v>
      </c>
      <c r="O486">
        <v>50</v>
      </c>
      <c r="P486" t="s">
        <v>90</v>
      </c>
      <c r="Q486" t="s">
        <v>512</v>
      </c>
      <c r="R486" s="2">
        <f>Table1[[#This Row],[Global_BoxOfficeUSD]]-Table1[[#This Row],[BudgetUSD]]</f>
        <v>5280501.57</v>
      </c>
      <c r="S486" s="15">
        <f>Table1[[#This Row],[Profit]]/Table1[[#This Row],[BudgetUSD]]</f>
        <v>1.7068276482801676</v>
      </c>
      <c r="T486" t="str">
        <f>IF(Table1[[#This Row],[ROI]]&gt;100%,"Hit","Flop")</f>
        <v>Hit</v>
      </c>
    </row>
    <row r="487" spans="1:20" x14ac:dyDescent="0.3">
      <c r="A487">
        <v>515</v>
      </c>
      <c r="B487" t="s">
        <v>456</v>
      </c>
      <c r="C487" t="s">
        <v>45</v>
      </c>
      <c r="D487">
        <v>1968</v>
      </c>
      <c r="E487" s="1">
        <v>24913</v>
      </c>
      <c r="F487" t="s">
        <v>139</v>
      </c>
      <c r="G487" s="2">
        <v>2538648.83</v>
      </c>
      <c r="H487" s="2">
        <v>4072801.83</v>
      </c>
      <c r="I487" s="2">
        <v>8369878.9900000002</v>
      </c>
      <c r="J487" s="2">
        <v>1155458.3700000001</v>
      </c>
      <c r="K487" s="2">
        <v>1743202.05</v>
      </c>
      <c r="L487">
        <v>7.1</v>
      </c>
      <c r="M487">
        <v>60</v>
      </c>
      <c r="N487">
        <v>3099</v>
      </c>
      <c r="O487">
        <v>50</v>
      </c>
      <c r="P487" t="s">
        <v>120</v>
      </c>
      <c r="Q487" t="s">
        <v>305</v>
      </c>
      <c r="R487" s="2">
        <f>Table1[[#This Row],[Global_BoxOfficeUSD]]-Table1[[#This Row],[BudgetUSD]]</f>
        <v>5831230.1600000001</v>
      </c>
      <c r="S487" s="15">
        <f>Table1[[#This Row],[Profit]]/Table1[[#This Row],[BudgetUSD]]</f>
        <v>2.2969818003540095</v>
      </c>
      <c r="T487" t="str">
        <f>IF(Table1[[#This Row],[ROI]]&gt;100%,"Hit","Flop")</f>
        <v>Hit</v>
      </c>
    </row>
    <row r="488" spans="1:20" x14ac:dyDescent="0.3">
      <c r="A488">
        <v>605</v>
      </c>
      <c r="B488" t="s">
        <v>1025</v>
      </c>
      <c r="C488" t="s">
        <v>38</v>
      </c>
      <c r="D488">
        <v>1964</v>
      </c>
      <c r="E488" s="1">
        <v>23665</v>
      </c>
      <c r="F488" t="s">
        <v>23</v>
      </c>
      <c r="G488" s="2">
        <v>8350738.6200000001</v>
      </c>
      <c r="H488" s="2">
        <v>4401858.84</v>
      </c>
      <c r="I488" s="2">
        <v>8350738.6200000001</v>
      </c>
      <c r="J488" s="2">
        <v>1047290.82</v>
      </c>
      <c r="K488" s="2">
        <v>2627525.83</v>
      </c>
      <c r="L488">
        <v>10</v>
      </c>
      <c r="M488">
        <v>87</v>
      </c>
      <c r="N488">
        <v>4439</v>
      </c>
      <c r="O488">
        <v>7592</v>
      </c>
      <c r="P488" t="s">
        <v>401</v>
      </c>
      <c r="Q488" t="s">
        <v>559</v>
      </c>
      <c r="R488" s="2">
        <f>Table1[[#This Row],[Global_BoxOfficeUSD]]-Table1[[#This Row],[BudgetUSD]]</f>
        <v>0</v>
      </c>
      <c r="S488" s="15">
        <f>Table1[[#This Row],[Profit]]/Table1[[#This Row],[BudgetUSD]]</f>
        <v>0</v>
      </c>
      <c r="T488" t="str">
        <f>IF(Table1[[#This Row],[ROI]]&gt;100%,"Hit","Flop")</f>
        <v>Flop</v>
      </c>
    </row>
    <row r="489" spans="1:20" x14ac:dyDescent="0.3">
      <c r="A489">
        <v>445</v>
      </c>
      <c r="B489" t="s">
        <v>835</v>
      </c>
      <c r="C489" t="s">
        <v>38</v>
      </c>
      <c r="D489">
        <v>2023</v>
      </c>
      <c r="E489" s="1">
        <v>45241</v>
      </c>
      <c r="F489" t="s">
        <v>23</v>
      </c>
      <c r="G489" s="2">
        <v>2339841.29</v>
      </c>
      <c r="H489" s="2">
        <v>4777024.2300000004</v>
      </c>
      <c r="I489" s="2">
        <v>8345622.75</v>
      </c>
      <c r="J489" s="2">
        <v>1108795.94</v>
      </c>
      <c r="K489" s="2">
        <v>2019822.16</v>
      </c>
      <c r="L489">
        <v>7.1</v>
      </c>
      <c r="M489">
        <v>75</v>
      </c>
      <c r="N489">
        <v>991</v>
      </c>
      <c r="O489">
        <v>296</v>
      </c>
      <c r="P489" t="s">
        <v>609</v>
      </c>
      <c r="Q489" t="s">
        <v>836</v>
      </c>
      <c r="R489" s="2">
        <f>Table1[[#This Row],[Global_BoxOfficeUSD]]-Table1[[#This Row],[BudgetUSD]]</f>
        <v>6005781.46</v>
      </c>
      <c r="S489" s="15">
        <f>Table1[[#This Row],[Profit]]/Table1[[#This Row],[BudgetUSD]]</f>
        <v>2.5667473625956911</v>
      </c>
      <c r="T489" t="str">
        <f>IF(Table1[[#This Row],[ROI]]&gt;100%,"Hit","Flop")</f>
        <v>Hit</v>
      </c>
    </row>
    <row r="490" spans="1:20" x14ac:dyDescent="0.3">
      <c r="A490">
        <v>524</v>
      </c>
      <c r="B490" t="s">
        <v>931</v>
      </c>
      <c r="C490" t="s">
        <v>18</v>
      </c>
      <c r="D490">
        <v>2002</v>
      </c>
      <c r="E490" s="1">
        <v>37335</v>
      </c>
      <c r="F490" t="s">
        <v>23</v>
      </c>
      <c r="G490" s="2">
        <v>2564729.96</v>
      </c>
      <c r="H490" s="2">
        <v>5537643.4100000001</v>
      </c>
      <c r="I490" s="2">
        <v>8321591.21</v>
      </c>
      <c r="J490" s="2">
        <v>996816.47</v>
      </c>
      <c r="K490" s="2">
        <v>2873298.2</v>
      </c>
      <c r="L490">
        <v>5.9</v>
      </c>
      <c r="M490">
        <v>45</v>
      </c>
      <c r="N490">
        <v>2378</v>
      </c>
      <c r="O490">
        <v>84</v>
      </c>
      <c r="P490" t="s">
        <v>299</v>
      </c>
      <c r="Q490" t="s">
        <v>754</v>
      </c>
      <c r="R490" s="2">
        <f>Table1[[#This Row],[Global_BoxOfficeUSD]]-Table1[[#This Row],[BudgetUSD]]</f>
        <v>5756861.25</v>
      </c>
      <c r="S490" s="15">
        <f>Table1[[#This Row],[Profit]]/Table1[[#This Row],[BudgetUSD]]</f>
        <v>2.2446266623718936</v>
      </c>
      <c r="T490" t="str">
        <f>IF(Table1[[#This Row],[ROI]]&gt;100%,"Hit","Flop")</f>
        <v>Hit</v>
      </c>
    </row>
    <row r="491" spans="1:20" x14ac:dyDescent="0.3">
      <c r="A491">
        <v>747</v>
      </c>
      <c r="B491" t="s">
        <v>1166</v>
      </c>
      <c r="C491" t="s">
        <v>107</v>
      </c>
      <c r="D491">
        <v>1996</v>
      </c>
      <c r="E491" s="1">
        <v>35289</v>
      </c>
      <c r="F491" t="s">
        <v>318</v>
      </c>
      <c r="G491" s="2">
        <v>2686852.52</v>
      </c>
      <c r="H491" s="2">
        <v>4100747.12</v>
      </c>
      <c r="I491" s="2">
        <v>8289127.5599999996</v>
      </c>
      <c r="J491" s="2">
        <v>849409.97</v>
      </c>
      <c r="K491" s="2">
        <v>1786753.75</v>
      </c>
      <c r="L491">
        <v>7.3</v>
      </c>
      <c r="M491">
        <v>77</v>
      </c>
      <c r="N491">
        <v>3805</v>
      </c>
      <c r="O491">
        <v>2109</v>
      </c>
      <c r="P491" t="s">
        <v>187</v>
      </c>
      <c r="Q491" t="s">
        <v>180</v>
      </c>
      <c r="R491" s="2">
        <f>Table1[[#This Row],[Global_BoxOfficeUSD]]-Table1[[#This Row],[BudgetUSD]]</f>
        <v>5602275.0399999991</v>
      </c>
      <c r="S491" s="15">
        <f>Table1[[#This Row],[Profit]]/Table1[[#This Row],[BudgetUSD]]</f>
        <v>2.0850697975786177</v>
      </c>
      <c r="T491" t="str">
        <f>IF(Table1[[#This Row],[ROI]]&gt;100%,"Hit","Flop")</f>
        <v>Hit</v>
      </c>
    </row>
    <row r="492" spans="1:20" x14ac:dyDescent="0.3">
      <c r="A492">
        <v>865</v>
      </c>
      <c r="B492" t="s">
        <v>1281</v>
      </c>
      <c r="C492" t="s">
        <v>77</v>
      </c>
      <c r="D492">
        <v>2015</v>
      </c>
      <c r="E492" s="1">
        <v>42207</v>
      </c>
      <c r="F492" t="s">
        <v>23</v>
      </c>
      <c r="G492" s="2">
        <v>1777904.83</v>
      </c>
      <c r="H492" s="2">
        <v>4642089.6900000004</v>
      </c>
      <c r="I492" s="2">
        <v>8280213.8499999996</v>
      </c>
      <c r="J492" s="2">
        <v>1238052.21</v>
      </c>
      <c r="K492" s="2">
        <v>2333505.91</v>
      </c>
      <c r="L492">
        <v>5.4</v>
      </c>
      <c r="M492">
        <v>61</v>
      </c>
      <c r="N492">
        <v>8075</v>
      </c>
      <c r="O492">
        <v>709</v>
      </c>
      <c r="P492" t="s">
        <v>30</v>
      </c>
      <c r="Q492" t="s">
        <v>832</v>
      </c>
      <c r="R492" s="2">
        <f>Table1[[#This Row],[Global_BoxOfficeUSD]]-Table1[[#This Row],[BudgetUSD]]</f>
        <v>6502309.0199999996</v>
      </c>
      <c r="S492" s="15">
        <f>Table1[[#This Row],[Profit]]/Table1[[#This Row],[BudgetUSD]]</f>
        <v>3.6572874488450537</v>
      </c>
      <c r="T492" t="str">
        <f>IF(Table1[[#This Row],[ROI]]&gt;100%,"Hit","Flop")</f>
        <v>Hit</v>
      </c>
    </row>
    <row r="493" spans="1:20" x14ac:dyDescent="0.3">
      <c r="A493">
        <v>332</v>
      </c>
      <c r="B493" t="s">
        <v>682</v>
      </c>
      <c r="C493" t="s">
        <v>86</v>
      </c>
      <c r="D493">
        <v>1972</v>
      </c>
      <c r="E493" s="1">
        <v>26476</v>
      </c>
      <c r="F493" t="s">
        <v>23</v>
      </c>
      <c r="G493" s="2">
        <v>1875729.82</v>
      </c>
      <c r="H493" s="2">
        <v>5434677.3399999999</v>
      </c>
      <c r="I493" s="2">
        <v>8268987.5800000001</v>
      </c>
      <c r="J493" s="2">
        <v>1594317.15</v>
      </c>
      <c r="K493" s="2">
        <v>2980986.9</v>
      </c>
      <c r="L493">
        <v>8.9</v>
      </c>
      <c r="M493">
        <v>78</v>
      </c>
      <c r="N493">
        <v>1632</v>
      </c>
      <c r="O493">
        <v>1916</v>
      </c>
      <c r="P493" t="s">
        <v>302</v>
      </c>
      <c r="Q493" t="s">
        <v>650</v>
      </c>
      <c r="R493" s="2">
        <f>Table1[[#This Row],[Global_BoxOfficeUSD]]-Table1[[#This Row],[BudgetUSD]]</f>
        <v>6393257.7599999998</v>
      </c>
      <c r="S493" s="15">
        <f>Table1[[#This Row],[Profit]]/Table1[[#This Row],[BudgetUSD]]</f>
        <v>3.4084107912727002</v>
      </c>
      <c r="T493" t="str">
        <f>IF(Table1[[#This Row],[ROI]]&gt;100%,"Hit","Flop")</f>
        <v>Hit</v>
      </c>
    </row>
    <row r="494" spans="1:20" x14ac:dyDescent="0.3">
      <c r="A494">
        <v>180</v>
      </c>
      <c r="B494" t="s">
        <v>456</v>
      </c>
      <c r="C494" t="s">
        <v>77</v>
      </c>
      <c r="D494">
        <v>1996</v>
      </c>
      <c r="E494" s="1">
        <v>35098</v>
      </c>
      <c r="F494" t="s">
        <v>23</v>
      </c>
      <c r="G494" s="2">
        <v>8253604.5099999998</v>
      </c>
      <c r="H494" s="2">
        <v>5316843.91</v>
      </c>
      <c r="I494" s="2">
        <v>8253604.5099999998</v>
      </c>
      <c r="J494" s="2">
        <v>1260856.78</v>
      </c>
      <c r="K494" s="2">
        <v>2658315.35</v>
      </c>
      <c r="L494">
        <v>5.6</v>
      </c>
      <c r="M494">
        <v>58</v>
      </c>
      <c r="N494">
        <v>2105</v>
      </c>
      <c r="O494">
        <v>2900</v>
      </c>
      <c r="P494" t="s">
        <v>61</v>
      </c>
      <c r="Q494" t="s">
        <v>198</v>
      </c>
      <c r="R494" s="2">
        <f>Table1[[#This Row],[Global_BoxOfficeUSD]]-Table1[[#This Row],[BudgetUSD]]</f>
        <v>0</v>
      </c>
      <c r="S494" s="15">
        <f>Table1[[#This Row],[Profit]]/Table1[[#This Row],[BudgetUSD]]</f>
        <v>0</v>
      </c>
      <c r="T494" t="str">
        <f>IF(Table1[[#This Row],[ROI]]&gt;100%,"Hit","Flop")</f>
        <v>Flop</v>
      </c>
    </row>
    <row r="495" spans="1:20" x14ac:dyDescent="0.3">
      <c r="A495">
        <v>69</v>
      </c>
      <c r="B495" t="s">
        <v>215</v>
      </c>
      <c r="C495" t="s">
        <v>38</v>
      </c>
      <c r="D495">
        <v>2003</v>
      </c>
      <c r="E495" s="1">
        <v>37892</v>
      </c>
      <c r="F495" t="s">
        <v>132</v>
      </c>
      <c r="G495" s="2">
        <v>3023413.08</v>
      </c>
      <c r="H495" s="2">
        <v>5008384.37</v>
      </c>
      <c r="I495" s="2">
        <v>8219234.2000000002</v>
      </c>
      <c r="J495" s="2">
        <v>1270729.5900000001</v>
      </c>
      <c r="K495" s="2">
        <v>2128887.23</v>
      </c>
      <c r="L495">
        <v>5.0999999999999996</v>
      </c>
      <c r="M495">
        <v>54</v>
      </c>
      <c r="N495">
        <v>1796</v>
      </c>
      <c r="O495">
        <v>3796</v>
      </c>
      <c r="P495" t="s">
        <v>216</v>
      </c>
      <c r="Q495" t="s">
        <v>217</v>
      </c>
      <c r="R495" s="2">
        <f>Table1[[#This Row],[Global_BoxOfficeUSD]]-Table1[[#This Row],[BudgetUSD]]</f>
        <v>5195821.12</v>
      </c>
      <c r="S495" s="15">
        <f>Table1[[#This Row],[Profit]]/Table1[[#This Row],[BudgetUSD]]</f>
        <v>1.7185283593467817</v>
      </c>
      <c r="T495" t="str">
        <f>IF(Table1[[#This Row],[ROI]]&gt;100%,"Hit","Flop")</f>
        <v>Hit</v>
      </c>
    </row>
    <row r="496" spans="1:20" x14ac:dyDescent="0.3">
      <c r="A496">
        <v>343</v>
      </c>
      <c r="B496" t="s">
        <v>697</v>
      </c>
      <c r="C496" t="s">
        <v>45</v>
      </c>
      <c r="D496">
        <v>2005</v>
      </c>
      <c r="E496" s="1">
        <v>38588</v>
      </c>
      <c r="F496" t="s">
        <v>318</v>
      </c>
      <c r="G496" s="2">
        <v>3895629.42</v>
      </c>
      <c r="H496" s="2">
        <v>3409490.51</v>
      </c>
      <c r="I496" s="2">
        <v>8157209.4100000001</v>
      </c>
      <c r="J496" s="2">
        <v>490699.73</v>
      </c>
      <c r="K496" s="2">
        <v>1668114.87</v>
      </c>
      <c r="L496">
        <v>7.4</v>
      </c>
      <c r="M496">
        <v>62</v>
      </c>
      <c r="N496">
        <v>2762</v>
      </c>
      <c r="O496">
        <v>469</v>
      </c>
      <c r="P496" t="s">
        <v>503</v>
      </c>
      <c r="Q496" t="s">
        <v>282</v>
      </c>
      <c r="R496" s="2">
        <f>Table1[[#This Row],[Global_BoxOfficeUSD]]-Table1[[#This Row],[BudgetUSD]]</f>
        <v>4261579.99</v>
      </c>
      <c r="S496" s="15">
        <f>Table1[[#This Row],[Profit]]/Table1[[#This Row],[BudgetUSD]]</f>
        <v>1.0939387530346765</v>
      </c>
      <c r="T496" t="str">
        <f>IF(Table1[[#This Row],[ROI]]&gt;100%,"Hit","Flop")</f>
        <v>Hit</v>
      </c>
    </row>
    <row r="497" spans="1:20" x14ac:dyDescent="0.3">
      <c r="A497">
        <v>203</v>
      </c>
      <c r="B497" t="s">
        <v>496</v>
      </c>
      <c r="C497" t="s">
        <v>38</v>
      </c>
      <c r="D497">
        <v>2020</v>
      </c>
      <c r="E497" s="1">
        <v>44089</v>
      </c>
      <c r="F497" t="s">
        <v>132</v>
      </c>
      <c r="G497" s="2">
        <v>1756852.4</v>
      </c>
      <c r="H497" s="2">
        <v>4160001.58</v>
      </c>
      <c r="I497" s="2">
        <v>8127378.2599999998</v>
      </c>
      <c r="J497" s="2">
        <v>1157126.07</v>
      </c>
      <c r="K497" s="2">
        <v>2145623.7200000002</v>
      </c>
      <c r="L497">
        <v>8.5</v>
      </c>
      <c r="M497">
        <v>67</v>
      </c>
      <c r="N497">
        <v>4139</v>
      </c>
      <c r="O497">
        <v>50</v>
      </c>
      <c r="P497" t="s">
        <v>123</v>
      </c>
      <c r="Q497" t="s">
        <v>497</v>
      </c>
      <c r="R497" s="2">
        <f>Table1[[#This Row],[Global_BoxOfficeUSD]]-Table1[[#This Row],[BudgetUSD]]</f>
        <v>6370525.8599999994</v>
      </c>
      <c r="S497" s="15">
        <f>Table1[[#This Row],[Profit]]/Table1[[#This Row],[BudgetUSD]]</f>
        <v>3.6261019195465707</v>
      </c>
      <c r="T497" t="str">
        <f>IF(Table1[[#This Row],[ROI]]&gt;100%,"Hit","Flop")</f>
        <v>Hit</v>
      </c>
    </row>
    <row r="498" spans="1:20" x14ac:dyDescent="0.3">
      <c r="A498">
        <v>543</v>
      </c>
      <c r="B498" t="s">
        <v>954</v>
      </c>
      <c r="C498" t="s">
        <v>67</v>
      </c>
      <c r="D498">
        <v>2023</v>
      </c>
      <c r="E498" s="1">
        <v>44948</v>
      </c>
      <c r="F498" t="s">
        <v>23</v>
      </c>
      <c r="G498" s="2">
        <v>1947925.64</v>
      </c>
      <c r="H498" s="2">
        <v>3655074.53</v>
      </c>
      <c r="I498" s="2">
        <v>8097797.7400000002</v>
      </c>
      <c r="J498" s="2">
        <v>947944.02</v>
      </c>
      <c r="K498" s="2">
        <v>2101883.77</v>
      </c>
      <c r="L498">
        <v>6.4</v>
      </c>
      <c r="M498">
        <v>52</v>
      </c>
      <c r="N498">
        <v>1790</v>
      </c>
      <c r="O498">
        <v>114</v>
      </c>
      <c r="P498" t="s">
        <v>601</v>
      </c>
      <c r="Q498" t="s">
        <v>590</v>
      </c>
      <c r="R498" s="2">
        <f>Table1[[#This Row],[Global_BoxOfficeUSD]]-Table1[[#This Row],[BudgetUSD]]</f>
        <v>6149872.1000000006</v>
      </c>
      <c r="S498" s="15">
        <f>Table1[[#This Row],[Profit]]/Table1[[#This Row],[BudgetUSD]]</f>
        <v>3.1571390476691916</v>
      </c>
      <c r="T498" t="str">
        <f>IF(Table1[[#This Row],[ROI]]&gt;100%,"Hit","Flop")</f>
        <v>Hit</v>
      </c>
    </row>
    <row r="499" spans="1:20" x14ac:dyDescent="0.3">
      <c r="A499">
        <v>850</v>
      </c>
      <c r="B499" t="s">
        <v>1267</v>
      </c>
      <c r="C499" t="s">
        <v>38</v>
      </c>
      <c r="D499">
        <v>1965</v>
      </c>
      <c r="E499" s="1">
        <v>24066</v>
      </c>
      <c r="F499" t="s">
        <v>23</v>
      </c>
      <c r="G499" s="2">
        <v>1877554.68</v>
      </c>
      <c r="H499" s="2">
        <v>5013160.51</v>
      </c>
      <c r="I499" s="2">
        <v>8053564.7999999998</v>
      </c>
      <c r="J499" s="2">
        <v>727651.26</v>
      </c>
      <c r="K499" s="2">
        <v>2519130.52</v>
      </c>
      <c r="L499">
        <v>7.2</v>
      </c>
      <c r="M499">
        <v>47</v>
      </c>
      <c r="N499">
        <v>1242</v>
      </c>
      <c r="O499">
        <v>75</v>
      </c>
      <c r="P499" t="s">
        <v>126</v>
      </c>
      <c r="Q499" t="s">
        <v>806</v>
      </c>
      <c r="R499" s="2">
        <f>Table1[[#This Row],[Global_BoxOfficeUSD]]-Table1[[#This Row],[BudgetUSD]]</f>
        <v>6176010.1200000001</v>
      </c>
      <c r="S499" s="15">
        <f>Table1[[#This Row],[Profit]]/Table1[[#This Row],[BudgetUSD]]</f>
        <v>3.2893902828971138</v>
      </c>
      <c r="T499" t="str">
        <f>IF(Table1[[#This Row],[ROI]]&gt;100%,"Hit","Flop")</f>
        <v>Hit</v>
      </c>
    </row>
    <row r="500" spans="1:20" x14ac:dyDescent="0.3">
      <c r="A500">
        <v>353</v>
      </c>
      <c r="B500" t="s">
        <v>709</v>
      </c>
      <c r="C500" t="s">
        <v>67</v>
      </c>
      <c r="D500">
        <v>2025</v>
      </c>
      <c r="E500" s="1">
        <v>45781</v>
      </c>
      <c r="F500" t="s">
        <v>139</v>
      </c>
      <c r="G500" s="2">
        <v>2431585.06</v>
      </c>
      <c r="H500" s="2">
        <v>4600898.21</v>
      </c>
      <c r="I500" s="2">
        <v>8038835.2400000002</v>
      </c>
      <c r="J500" s="2">
        <v>1060691.19</v>
      </c>
      <c r="K500" s="2">
        <v>1996412.11</v>
      </c>
      <c r="L500">
        <v>6.5</v>
      </c>
      <c r="M500">
        <v>62</v>
      </c>
      <c r="N500">
        <v>595</v>
      </c>
      <c r="O500">
        <v>1388</v>
      </c>
      <c r="P500" t="s">
        <v>695</v>
      </c>
      <c r="Q500" t="s">
        <v>567</v>
      </c>
      <c r="R500" s="2">
        <f>Table1[[#This Row],[Global_BoxOfficeUSD]]-Table1[[#This Row],[BudgetUSD]]</f>
        <v>5607250.1799999997</v>
      </c>
      <c r="S500" s="15">
        <f>Table1[[#This Row],[Profit]]/Table1[[#This Row],[BudgetUSD]]</f>
        <v>2.3060061818277497</v>
      </c>
      <c r="T500" t="str">
        <f>IF(Table1[[#This Row],[ROI]]&gt;100%,"Hit","Flop")</f>
        <v>Hit</v>
      </c>
    </row>
    <row r="501" spans="1:20" x14ac:dyDescent="0.3">
      <c r="A501">
        <v>149</v>
      </c>
      <c r="B501" t="s">
        <v>160</v>
      </c>
      <c r="C501" t="s">
        <v>18</v>
      </c>
      <c r="D501">
        <v>1997</v>
      </c>
      <c r="E501" s="1">
        <v>35482</v>
      </c>
      <c r="F501" t="s">
        <v>23</v>
      </c>
      <c r="G501" s="2">
        <v>4596514.7300000004</v>
      </c>
      <c r="H501" s="2">
        <v>5323003.82</v>
      </c>
      <c r="I501" s="2">
        <v>8027250.7999999998</v>
      </c>
      <c r="J501" s="2">
        <v>1064374.83</v>
      </c>
      <c r="K501" s="2">
        <v>3032567.5</v>
      </c>
      <c r="L501">
        <v>4.4000000000000004</v>
      </c>
      <c r="M501">
        <v>43</v>
      </c>
      <c r="N501">
        <v>936</v>
      </c>
      <c r="O501">
        <v>473</v>
      </c>
      <c r="P501" t="s">
        <v>386</v>
      </c>
      <c r="Q501" t="s">
        <v>387</v>
      </c>
      <c r="R501" s="2">
        <f>Table1[[#This Row],[Global_BoxOfficeUSD]]-Table1[[#This Row],[BudgetUSD]]</f>
        <v>3430736.0699999994</v>
      </c>
      <c r="S501" s="15">
        <f>Table1[[#This Row],[Profit]]/Table1[[#This Row],[BudgetUSD]]</f>
        <v>0.74637769517166308</v>
      </c>
      <c r="T501" t="str">
        <f>IF(Table1[[#This Row],[ROI]]&gt;100%,"Hit","Flop")</f>
        <v>Flop</v>
      </c>
    </row>
    <row r="502" spans="1:20" x14ac:dyDescent="0.3">
      <c r="A502">
        <v>670</v>
      </c>
      <c r="B502" t="s">
        <v>330</v>
      </c>
      <c r="C502" t="s">
        <v>67</v>
      </c>
      <c r="D502">
        <v>1995</v>
      </c>
      <c r="E502" s="1">
        <v>34789</v>
      </c>
      <c r="F502" t="s">
        <v>249</v>
      </c>
      <c r="G502" s="2">
        <v>3483522.57</v>
      </c>
      <c r="H502" s="2">
        <v>4312332.3</v>
      </c>
      <c r="I502" s="2">
        <v>8011725.4400000004</v>
      </c>
      <c r="J502" s="2">
        <v>1121708.8799999999</v>
      </c>
      <c r="K502" s="2">
        <v>1822869.72</v>
      </c>
      <c r="L502">
        <v>6.6</v>
      </c>
      <c r="M502">
        <v>73</v>
      </c>
      <c r="N502">
        <v>14789</v>
      </c>
      <c r="O502">
        <v>1852</v>
      </c>
      <c r="P502" t="s">
        <v>370</v>
      </c>
      <c r="Q502" t="s">
        <v>324</v>
      </c>
      <c r="R502" s="2">
        <f>Table1[[#This Row],[Global_BoxOfficeUSD]]-Table1[[#This Row],[BudgetUSD]]</f>
        <v>4528202.870000001</v>
      </c>
      <c r="S502" s="15">
        <f>Table1[[#This Row],[Profit]]/Table1[[#This Row],[BudgetUSD]]</f>
        <v>1.2998919280721071</v>
      </c>
      <c r="T502" t="str">
        <f>IF(Table1[[#This Row],[ROI]]&gt;100%,"Hit","Flop")</f>
        <v>Hit</v>
      </c>
    </row>
    <row r="503" spans="1:20" x14ac:dyDescent="0.3">
      <c r="A503">
        <v>903</v>
      </c>
      <c r="B503" t="s">
        <v>1314</v>
      </c>
      <c r="C503" t="s">
        <v>33</v>
      </c>
      <c r="D503">
        <v>1978</v>
      </c>
      <c r="E503" s="1">
        <v>28595</v>
      </c>
      <c r="F503" t="s">
        <v>23</v>
      </c>
      <c r="G503" s="2">
        <v>3743070.25</v>
      </c>
      <c r="H503" s="2">
        <v>3729175.47</v>
      </c>
      <c r="I503" s="2">
        <v>7980786.0099999998</v>
      </c>
      <c r="J503" s="2">
        <v>445608.43</v>
      </c>
      <c r="K503" s="2">
        <v>1647369.69</v>
      </c>
      <c r="L503">
        <v>7.6</v>
      </c>
      <c r="M503">
        <v>69</v>
      </c>
      <c r="N503">
        <v>339</v>
      </c>
      <c r="O503">
        <v>314</v>
      </c>
      <c r="P503" t="s">
        <v>319</v>
      </c>
      <c r="Q503" t="s">
        <v>320</v>
      </c>
      <c r="R503" s="2">
        <f>Table1[[#This Row],[Global_BoxOfficeUSD]]-Table1[[#This Row],[BudgetUSD]]</f>
        <v>4237715.76</v>
      </c>
      <c r="S503" s="15">
        <f>Table1[[#This Row],[Profit]]/Table1[[#This Row],[BudgetUSD]]</f>
        <v>1.1321496731192795</v>
      </c>
      <c r="T503" t="str">
        <f>IF(Table1[[#This Row],[ROI]]&gt;100%,"Hit","Flop")</f>
        <v>Hit</v>
      </c>
    </row>
    <row r="504" spans="1:20" x14ac:dyDescent="0.3">
      <c r="A504">
        <v>499</v>
      </c>
      <c r="B504" t="s">
        <v>903</v>
      </c>
      <c r="C504" t="s">
        <v>38</v>
      </c>
      <c r="D504">
        <v>1994</v>
      </c>
      <c r="E504" s="1">
        <v>34605</v>
      </c>
      <c r="F504" t="s">
        <v>23</v>
      </c>
      <c r="G504" s="2">
        <v>6168377.8799999999</v>
      </c>
      <c r="H504" s="2">
        <v>4592322.2699999996</v>
      </c>
      <c r="I504" s="2">
        <v>7966217.6200000001</v>
      </c>
      <c r="J504" s="2">
        <v>884694.07</v>
      </c>
      <c r="K504" s="2">
        <v>2453903.75</v>
      </c>
      <c r="L504">
        <v>9.6999999999999993</v>
      </c>
      <c r="M504">
        <v>100</v>
      </c>
      <c r="N504">
        <v>9157</v>
      </c>
      <c r="O504">
        <v>447</v>
      </c>
      <c r="P504" t="s">
        <v>541</v>
      </c>
      <c r="Q504" t="s">
        <v>904</v>
      </c>
      <c r="R504" s="2">
        <f>Table1[[#This Row],[Global_BoxOfficeUSD]]-Table1[[#This Row],[BudgetUSD]]</f>
        <v>1797839.7400000002</v>
      </c>
      <c r="S504" s="15">
        <f>Table1[[#This Row],[Profit]]/Table1[[#This Row],[BudgetUSD]]</f>
        <v>0.29146070084798376</v>
      </c>
      <c r="T504" t="str">
        <f>IF(Table1[[#This Row],[ROI]]&gt;100%,"Hit","Flop")</f>
        <v>Flop</v>
      </c>
    </row>
    <row r="505" spans="1:20" x14ac:dyDescent="0.3">
      <c r="A505">
        <v>765</v>
      </c>
      <c r="B505" t="s">
        <v>1186</v>
      </c>
      <c r="C505" t="s">
        <v>67</v>
      </c>
      <c r="D505">
        <v>2009</v>
      </c>
      <c r="E505" s="1">
        <v>40115</v>
      </c>
      <c r="F505" t="s">
        <v>23</v>
      </c>
      <c r="G505" s="2">
        <v>4061702.97</v>
      </c>
      <c r="H505" s="2">
        <v>3844581.75</v>
      </c>
      <c r="I505" s="2">
        <v>7953966.4000000004</v>
      </c>
      <c r="J505" s="2">
        <v>966240.12</v>
      </c>
      <c r="K505" s="2">
        <v>2244835.19</v>
      </c>
      <c r="L505">
        <v>4.7</v>
      </c>
      <c r="M505">
        <v>34</v>
      </c>
      <c r="N505">
        <v>2573</v>
      </c>
      <c r="O505">
        <v>2539</v>
      </c>
      <c r="P505" t="s">
        <v>967</v>
      </c>
      <c r="Q505" t="s">
        <v>1187</v>
      </c>
      <c r="R505" s="2">
        <f>Table1[[#This Row],[Global_BoxOfficeUSD]]-Table1[[#This Row],[BudgetUSD]]</f>
        <v>3892263.43</v>
      </c>
      <c r="S505" s="15">
        <f>Table1[[#This Row],[Profit]]/Table1[[#This Row],[BudgetUSD]]</f>
        <v>0.95828362111865606</v>
      </c>
      <c r="T505" t="str">
        <f>IF(Table1[[#This Row],[ROI]]&gt;100%,"Hit","Flop")</f>
        <v>Flop</v>
      </c>
    </row>
    <row r="506" spans="1:20" x14ac:dyDescent="0.3">
      <c r="A506">
        <v>820</v>
      </c>
      <c r="B506" t="s">
        <v>945</v>
      </c>
      <c r="C506" t="s">
        <v>77</v>
      </c>
      <c r="D506">
        <v>2011</v>
      </c>
      <c r="E506" s="1">
        <v>40896</v>
      </c>
      <c r="F506" t="s">
        <v>19</v>
      </c>
      <c r="G506" s="2">
        <v>1661468.66</v>
      </c>
      <c r="H506" s="2">
        <v>4676287.62</v>
      </c>
      <c r="I506" s="2">
        <v>7930102.5899999999</v>
      </c>
      <c r="J506" s="2">
        <v>781701.05</v>
      </c>
      <c r="K506" s="2">
        <v>2288990.9900000002</v>
      </c>
      <c r="L506">
        <v>5.5</v>
      </c>
      <c r="M506">
        <v>48</v>
      </c>
      <c r="N506">
        <v>1416</v>
      </c>
      <c r="O506">
        <v>2292</v>
      </c>
      <c r="P506" t="s">
        <v>30</v>
      </c>
      <c r="Q506" t="s">
        <v>193</v>
      </c>
      <c r="R506" s="2">
        <f>Table1[[#This Row],[Global_BoxOfficeUSD]]-Table1[[#This Row],[BudgetUSD]]</f>
        <v>6268633.9299999997</v>
      </c>
      <c r="S506" s="15">
        <f>Table1[[#This Row],[Profit]]/Table1[[#This Row],[BudgetUSD]]</f>
        <v>3.7729474415725663</v>
      </c>
      <c r="T506" t="str">
        <f>IF(Table1[[#This Row],[ROI]]&gt;100%,"Hit","Flop")</f>
        <v>Hit</v>
      </c>
    </row>
    <row r="507" spans="1:20" x14ac:dyDescent="0.3">
      <c r="A507">
        <v>592</v>
      </c>
      <c r="B507" t="s">
        <v>1008</v>
      </c>
      <c r="C507" t="s">
        <v>33</v>
      </c>
      <c r="D507">
        <v>2015</v>
      </c>
      <c r="E507" s="1">
        <v>42329</v>
      </c>
      <c r="F507" t="s">
        <v>23</v>
      </c>
      <c r="G507" s="2">
        <v>2072383.1</v>
      </c>
      <c r="H507" s="2">
        <v>5093904.7699999996</v>
      </c>
      <c r="I507" s="2">
        <v>7913856.4199999999</v>
      </c>
      <c r="J507" s="2">
        <v>526530.93000000005</v>
      </c>
      <c r="K507" s="2">
        <v>2828050.11</v>
      </c>
      <c r="L507">
        <v>7.6</v>
      </c>
      <c r="M507">
        <v>79</v>
      </c>
      <c r="N507">
        <v>831</v>
      </c>
      <c r="O507">
        <v>100</v>
      </c>
      <c r="P507" t="s">
        <v>360</v>
      </c>
      <c r="Q507" t="s">
        <v>611</v>
      </c>
      <c r="R507" s="2">
        <f>Table1[[#This Row],[Global_BoxOfficeUSD]]-Table1[[#This Row],[BudgetUSD]]</f>
        <v>5841473.3200000003</v>
      </c>
      <c r="S507" s="15">
        <f>Table1[[#This Row],[Profit]]/Table1[[#This Row],[BudgetUSD]]</f>
        <v>2.818722715891671</v>
      </c>
      <c r="T507" t="str">
        <f>IF(Table1[[#This Row],[ROI]]&gt;100%,"Hit","Flop")</f>
        <v>Hit</v>
      </c>
    </row>
    <row r="508" spans="1:20" x14ac:dyDescent="0.3">
      <c r="A508">
        <v>774</v>
      </c>
      <c r="B508" t="s">
        <v>1195</v>
      </c>
      <c r="C508" t="s">
        <v>18</v>
      </c>
      <c r="D508">
        <v>2007</v>
      </c>
      <c r="E508" s="1">
        <v>39170</v>
      </c>
      <c r="F508" t="s">
        <v>139</v>
      </c>
      <c r="G508" s="2">
        <v>1928725.37</v>
      </c>
      <c r="H508" s="2">
        <v>4648442.4800000004</v>
      </c>
      <c r="I508" s="2">
        <v>7883840.5700000003</v>
      </c>
      <c r="J508" s="2">
        <v>1380406.67</v>
      </c>
      <c r="K508" s="2">
        <v>1907917.43</v>
      </c>
      <c r="L508">
        <v>5.6</v>
      </c>
      <c r="M508">
        <v>69</v>
      </c>
      <c r="N508">
        <v>10293</v>
      </c>
      <c r="O508">
        <v>39361</v>
      </c>
      <c r="P508" t="s">
        <v>427</v>
      </c>
      <c r="Q508" t="s">
        <v>100</v>
      </c>
      <c r="R508" s="2">
        <f>Table1[[#This Row],[Global_BoxOfficeUSD]]-Table1[[#This Row],[BudgetUSD]]</f>
        <v>5955115.2000000002</v>
      </c>
      <c r="S508" s="15">
        <f>Table1[[#This Row],[Profit]]/Table1[[#This Row],[BudgetUSD]]</f>
        <v>3.0875910550188905</v>
      </c>
      <c r="T508" t="str">
        <f>IF(Table1[[#This Row],[ROI]]&gt;100%,"Hit","Flop")</f>
        <v>Hit</v>
      </c>
    </row>
    <row r="509" spans="1:20" x14ac:dyDescent="0.3">
      <c r="A509">
        <v>460</v>
      </c>
      <c r="B509" t="s">
        <v>852</v>
      </c>
      <c r="C509" t="s">
        <v>38</v>
      </c>
      <c r="D509">
        <v>2013</v>
      </c>
      <c r="E509" s="1">
        <v>41558</v>
      </c>
      <c r="F509" t="s">
        <v>23</v>
      </c>
      <c r="G509" s="2">
        <v>2041272.24</v>
      </c>
      <c r="H509" s="2">
        <v>4993803.95</v>
      </c>
      <c r="I509" s="2">
        <v>7868134.29</v>
      </c>
      <c r="J509" s="2">
        <v>536216.5</v>
      </c>
      <c r="K509" s="2">
        <v>2415363.2599999998</v>
      </c>
      <c r="L509">
        <v>7.4</v>
      </c>
      <c r="M509">
        <v>68</v>
      </c>
      <c r="N509">
        <v>15594</v>
      </c>
      <c r="O509">
        <v>448</v>
      </c>
      <c r="P509" t="s">
        <v>606</v>
      </c>
      <c r="Q509" t="s">
        <v>84</v>
      </c>
      <c r="R509" s="2">
        <f>Table1[[#This Row],[Global_BoxOfficeUSD]]-Table1[[#This Row],[BudgetUSD]]</f>
        <v>5826862.0499999998</v>
      </c>
      <c r="S509" s="15">
        <f>Table1[[#This Row],[Profit]]/Table1[[#This Row],[BudgetUSD]]</f>
        <v>2.8545247105305269</v>
      </c>
      <c r="T509" t="str">
        <f>IF(Table1[[#This Row],[ROI]]&gt;100%,"Hit","Flop")</f>
        <v>Hit</v>
      </c>
    </row>
    <row r="510" spans="1:20" x14ac:dyDescent="0.3">
      <c r="A510">
        <v>153</v>
      </c>
      <c r="B510" t="s">
        <v>395</v>
      </c>
      <c r="C510" t="s">
        <v>33</v>
      </c>
      <c r="D510">
        <v>1999</v>
      </c>
      <c r="E510" s="1">
        <v>36488</v>
      </c>
      <c r="F510" t="s">
        <v>23</v>
      </c>
      <c r="G510" s="2">
        <v>3317560.79</v>
      </c>
      <c r="H510" s="2">
        <v>4942744.6900000004</v>
      </c>
      <c r="I510" s="2">
        <v>7837975.4900000002</v>
      </c>
      <c r="J510" s="2">
        <v>775700.75</v>
      </c>
      <c r="K510" s="2">
        <v>2922027</v>
      </c>
      <c r="L510">
        <v>7.5</v>
      </c>
      <c r="M510">
        <v>69</v>
      </c>
      <c r="N510">
        <v>2071</v>
      </c>
      <c r="O510">
        <v>261</v>
      </c>
      <c r="P510" t="s">
        <v>396</v>
      </c>
      <c r="Q510" t="s">
        <v>397</v>
      </c>
      <c r="R510" s="2">
        <f>Table1[[#This Row],[Global_BoxOfficeUSD]]-Table1[[#This Row],[BudgetUSD]]</f>
        <v>4520414.7</v>
      </c>
      <c r="S510" s="15">
        <f>Table1[[#This Row],[Profit]]/Table1[[#This Row],[BudgetUSD]]</f>
        <v>1.3625717767179182</v>
      </c>
      <c r="T510" t="str">
        <f>IF(Table1[[#This Row],[ROI]]&gt;100%,"Hit","Flop")</f>
        <v>Hit</v>
      </c>
    </row>
    <row r="511" spans="1:20" x14ac:dyDescent="0.3">
      <c r="A511">
        <v>857</v>
      </c>
      <c r="B511" t="s">
        <v>1274</v>
      </c>
      <c r="C511" t="s">
        <v>18</v>
      </c>
      <c r="D511">
        <v>1996</v>
      </c>
      <c r="E511" s="1">
        <v>35186</v>
      </c>
      <c r="F511" t="s">
        <v>152</v>
      </c>
      <c r="G511" s="2">
        <v>2139965.86</v>
      </c>
      <c r="H511" s="2">
        <v>5254727.46</v>
      </c>
      <c r="I511" s="2">
        <v>7795168.9299999997</v>
      </c>
      <c r="J511" s="2">
        <v>1392878.09</v>
      </c>
      <c r="K511" s="2">
        <v>3131336.6</v>
      </c>
      <c r="L511">
        <v>5.9</v>
      </c>
      <c r="M511">
        <v>47</v>
      </c>
      <c r="N511">
        <v>1211</v>
      </c>
      <c r="O511">
        <v>2804</v>
      </c>
      <c r="P511" t="s">
        <v>126</v>
      </c>
      <c r="Q511" t="s">
        <v>590</v>
      </c>
      <c r="R511" s="2">
        <f>Table1[[#This Row],[Global_BoxOfficeUSD]]-Table1[[#This Row],[BudgetUSD]]</f>
        <v>5655203.0700000003</v>
      </c>
      <c r="S511" s="15">
        <f>Table1[[#This Row],[Profit]]/Table1[[#This Row],[BudgetUSD]]</f>
        <v>2.6426604160871991</v>
      </c>
      <c r="T511" t="str">
        <f>IF(Table1[[#This Row],[ROI]]&gt;100%,"Hit","Flop")</f>
        <v>Hit</v>
      </c>
    </row>
    <row r="512" spans="1:20" x14ac:dyDescent="0.3">
      <c r="A512">
        <v>729</v>
      </c>
      <c r="B512" t="s">
        <v>1142</v>
      </c>
      <c r="C512" t="s">
        <v>77</v>
      </c>
      <c r="D512">
        <v>1987</v>
      </c>
      <c r="E512" s="1">
        <v>31910</v>
      </c>
      <c r="F512" t="s">
        <v>23</v>
      </c>
      <c r="G512" s="2">
        <v>2522008.92</v>
      </c>
      <c r="H512" s="2">
        <v>4850434.1100000003</v>
      </c>
      <c r="I512" s="2">
        <v>7784481.0800000001</v>
      </c>
      <c r="J512" s="2">
        <v>756674.86</v>
      </c>
      <c r="K512" s="2">
        <v>2676604.4</v>
      </c>
      <c r="L512">
        <v>6.2</v>
      </c>
      <c r="M512">
        <v>78</v>
      </c>
      <c r="N512">
        <v>17666</v>
      </c>
      <c r="O512">
        <v>317</v>
      </c>
      <c r="P512" t="s">
        <v>39</v>
      </c>
      <c r="Q512" t="s">
        <v>978</v>
      </c>
      <c r="R512" s="2">
        <f>Table1[[#This Row],[Global_BoxOfficeUSD]]-Table1[[#This Row],[BudgetUSD]]</f>
        <v>5262472.16</v>
      </c>
      <c r="S512" s="15">
        <f>Table1[[#This Row],[Profit]]/Table1[[#This Row],[BudgetUSD]]</f>
        <v>2.0866191702446479</v>
      </c>
      <c r="T512" t="str">
        <f>IF(Table1[[#This Row],[ROI]]&gt;100%,"Hit","Flop")</f>
        <v>Hit</v>
      </c>
    </row>
    <row r="513" spans="1:20" x14ac:dyDescent="0.3">
      <c r="A513">
        <v>403</v>
      </c>
      <c r="B513" t="s">
        <v>777</v>
      </c>
      <c r="C513" t="s">
        <v>77</v>
      </c>
      <c r="D513">
        <v>1990</v>
      </c>
      <c r="E513" s="1">
        <v>32971</v>
      </c>
      <c r="F513" t="s">
        <v>23</v>
      </c>
      <c r="G513" s="2">
        <v>7717659.5999999996</v>
      </c>
      <c r="H513" s="2">
        <v>5212121.9000000004</v>
      </c>
      <c r="I513" s="2">
        <v>7717659.5999999996</v>
      </c>
      <c r="J513" s="2">
        <v>1208183.04</v>
      </c>
      <c r="K513" s="2">
        <v>2379314.98</v>
      </c>
      <c r="L513">
        <v>9.1</v>
      </c>
      <c r="M513">
        <v>100</v>
      </c>
      <c r="N513">
        <v>10747</v>
      </c>
      <c r="O513">
        <v>351</v>
      </c>
      <c r="P513" t="s">
        <v>35</v>
      </c>
      <c r="Q513" t="s">
        <v>778</v>
      </c>
      <c r="R513" s="2">
        <f>Table1[[#This Row],[Global_BoxOfficeUSD]]-Table1[[#This Row],[BudgetUSD]]</f>
        <v>0</v>
      </c>
      <c r="S513" s="15">
        <f>Table1[[#This Row],[Profit]]/Table1[[#This Row],[BudgetUSD]]</f>
        <v>0</v>
      </c>
      <c r="T513" t="str">
        <f>IF(Table1[[#This Row],[ROI]]&gt;100%,"Hit","Flop")</f>
        <v>Flop</v>
      </c>
    </row>
    <row r="514" spans="1:20" x14ac:dyDescent="0.3">
      <c r="A514">
        <v>472</v>
      </c>
      <c r="B514" t="s">
        <v>868</v>
      </c>
      <c r="C514" t="s">
        <v>38</v>
      </c>
      <c r="D514">
        <v>1953</v>
      </c>
      <c r="E514" s="1">
        <v>19385</v>
      </c>
      <c r="F514" t="s">
        <v>23</v>
      </c>
      <c r="G514" s="2">
        <v>2986600.91</v>
      </c>
      <c r="H514" s="2">
        <v>4148420.47</v>
      </c>
      <c r="I514" s="2">
        <v>7716411.8799999999</v>
      </c>
      <c r="J514" s="2">
        <v>897914.73</v>
      </c>
      <c r="K514" s="2">
        <v>2233421.88</v>
      </c>
      <c r="L514">
        <v>5.6</v>
      </c>
      <c r="M514">
        <v>54</v>
      </c>
      <c r="N514">
        <v>1856</v>
      </c>
      <c r="O514">
        <v>62</v>
      </c>
      <c r="P514" t="s">
        <v>503</v>
      </c>
      <c r="Q514" t="s">
        <v>678</v>
      </c>
      <c r="R514" s="2">
        <f>Table1[[#This Row],[Global_BoxOfficeUSD]]-Table1[[#This Row],[BudgetUSD]]</f>
        <v>4729810.97</v>
      </c>
      <c r="S514" s="15">
        <f>Table1[[#This Row],[Profit]]/Table1[[#This Row],[BudgetUSD]]</f>
        <v>1.5836769332531944</v>
      </c>
      <c r="T514" t="str">
        <f>IF(Table1[[#This Row],[ROI]]&gt;100%,"Hit","Flop")</f>
        <v>Hit</v>
      </c>
    </row>
    <row r="515" spans="1:20" x14ac:dyDescent="0.3">
      <c r="A515">
        <v>326</v>
      </c>
      <c r="B515" t="s">
        <v>674</v>
      </c>
      <c r="C515" t="s">
        <v>107</v>
      </c>
      <c r="D515">
        <v>2003</v>
      </c>
      <c r="E515" s="1">
        <v>37788</v>
      </c>
      <c r="F515" t="s">
        <v>34</v>
      </c>
      <c r="G515" s="2">
        <v>2718355.15</v>
      </c>
      <c r="H515" s="2">
        <v>3827523.08</v>
      </c>
      <c r="I515" s="2">
        <v>7625827.6299999999</v>
      </c>
      <c r="J515" s="2">
        <v>524312.94999999995</v>
      </c>
      <c r="K515" s="2">
        <v>1882622.19</v>
      </c>
      <c r="L515">
        <v>6.6</v>
      </c>
      <c r="M515">
        <v>52</v>
      </c>
      <c r="N515">
        <v>2750</v>
      </c>
      <c r="O515">
        <v>2815</v>
      </c>
      <c r="P515" t="s">
        <v>675</v>
      </c>
      <c r="Q515" t="s">
        <v>88</v>
      </c>
      <c r="R515" s="2">
        <f>Table1[[#This Row],[Global_BoxOfficeUSD]]-Table1[[#This Row],[BudgetUSD]]</f>
        <v>4907472.4800000004</v>
      </c>
      <c r="S515" s="15">
        <f>Table1[[#This Row],[Profit]]/Table1[[#This Row],[BudgetUSD]]</f>
        <v>1.8053095380123529</v>
      </c>
      <c r="T515" t="str">
        <f>IF(Table1[[#This Row],[ROI]]&gt;100%,"Hit","Flop")</f>
        <v>Hit</v>
      </c>
    </row>
    <row r="516" spans="1:20" x14ac:dyDescent="0.3">
      <c r="A516">
        <v>579</v>
      </c>
      <c r="B516" t="s">
        <v>994</v>
      </c>
      <c r="C516" t="s">
        <v>77</v>
      </c>
      <c r="D516">
        <v>2023</v>
      </c>
      <c r="E516" s="1">
        <v>45014</v>
      </c>
      <c r="F516" t="s">
        <v>23</v>
      </c>
      <c r="G516" s="2">
        <v>2006000.95</v>
      </c>
      <c r="H516" s="2">
        <v>3292940.68</v>
      </c>
      <c r="I516" s="2">
        <v>7623238.8799999999</v>
      </c>
      <c r="J516" s="2">
        <v>931013.94</v>
      </c>
      <c r="K516" s="2">
        <v>1927358.64</v>
      </c>
      <c r="L516">
        <v>8.3000000000000007</v>
      </c>
      <c r="M516">
        <v>72</v>
      </c>
      <c r="N516">
        <v>2290</v>
      </c>
      <c r="O516">
        <v>858</v>
      </c>
      <c r="P516" t="s">
        <v>153</v>
      </c>
      <c r="Q516" t="s">
        <v>550</v>
      </c>
      <c r="R516" s="2">
        <f>Table1[[#This Row],[Global_BoxOfficeUSD]]-Table1[[#This Row],[BudgetUSD]]</f>
        <v>5617237.9299999997</v>
      </c>
      <c r="S516" s="15">
        <f>Table1[[#This Row],[Profit]]/Table1[[#This Row],[BudgetUSD]]</f>
        <v>2.8002169839450972</v>
      </c>
      <c r="T516" t="str">
        <f>IF(Table1[[#This Row],[ROI]]&gt;100%,"Hit","Flop")</f>
        <v>Hit</v>
      </c>
    </row>
    <row r="517" spans="1:20" x14ac:dyDescent="0.3">
      <c r="A517">
        <v>921</v>
      </c>
      <c r="B517" t="s">
        <v>1329</v>
      </c>
      <c r="C517" t="s">
        <v>67</v>
      </c>
      <c r="D517">
        <v>1976</v>
      </c>
      <c r="E517" s="1">
        <v>28028</v>
      </c>
      <c r="F517" t="s">
        <v>23</v>
      </c>
      <c r="G517" s="2">
        <v>3811962.14</v>
      </c>
      <c r="H517" s="2">
        <v>3793412.71</v>
      </c>
      <c r="I517" s="2">
        <v>7588793.21</v>
      </c>
      <c r="J517" s="2">
        <v>898353.2</v>
      </c>
      <c r="K517" s="2">
        <v>1543157.83</v>
      </c>
      <c r="L517">
        <v>8</v>
      </c>
      <c r="M517">
        <v>82</v>
      </c>
      <c r="N517">
        <v>414</v>
      </c>
      <c r="O517">
        <v>5189</v>
      </c>
      <c r="P517" t="s">
        <v>95</v>
      </c>
      <c r="Q517" t="s">
        <v>803</v>
      </c>
      <c r="R517" s="2">
        <f>Table1[[#This Row],[Global_BoxOfficeUSD]]-Table1[[#This Row],[BudgetUSD]]</f>
        <v>3776831.07</v>
      </c>
      <c r="S517" s="15">
        <f>Table1[[#This Row],[Profit]]/Table1[[#This Row],[BudgetUSD]]</f>
        <v>0.99078399293860764</v>
      </c>
      <c r="T517" t="str">
        <f>IF(Table1[[#This Row],[ROI]]&gt;100%,"Hit","Flop")</f>
        <v>Flop</v>
      </c>
    </row>
    <row r="518" spans="1:20" x14ac:dyDescent="0.3">
      <c r="A518">
        <v>908</v>
      </c>
      <c r="B518" t="s">
        <v>1318</v>
      </c>
      <c r="C518" t="s">
        <v>38</v>
      </c>
      <c r="D518">
        <v>2000</v>
      </c>
      <c r="E518" s="1">
        <v>36881</v>
      </c>
      <c r="F518" t="s">
        <v>23</v>
      </c>
      <c r="G518" s="2">
        <v>1906738.65</v>
      </c>
      <c r="H518" s="2">
        <v>4715244.9400000004</v>
      </c>
      <c r="I518" s="2">
        <v>7584498.29</v>
      </c>
      <c r="J518" s="2">
        <v>1296371.1499999999</v>
      </c>
      <c r="K518" s="2">
        <v>2718433.25</v>
      </c>
      <c r="L518">
        <v>8.5</v>
      </c>
      <c r="M518">
        <v>100</v>
      </c>
      <c r="N518">
        <v>1422</v>
      </c>
      <c r="O518">
        <v>1284</v>
      </c>
      <c r="P518" t="s">
        <v>208</v>
      </c>
      <c r="Q518" t="s">
        <v>887</v>
      </c>
      <c r="R518" s="2">
        <f>Table1[[#This Row],[Global_BoxOfficeUSD]]-Table1[[#This Row],[BudgetUSD]]</f>
        <v>5677759.6400000006</v>
      </c>
      <c r="S518" s="15">
        <f>Table1[[#This Row],[Profit]]/Table1[[#This Row],[BudgetUSD]]</f>
        <v>2.9777335451819793</v>
      </c>
      <c r="T518" t="str">
        <f>IF(Table1[[#This Row],[ROI]]&gt;100%,"Hit","Flop")</f>
        <v>Hit</v>
      </c>
    </row>
    <row r="519" spans="1:20" x14ac:dyDescent="0.3">
      <c r="A519">
        <v>578</v>
      </c>
      <c r="B519" t="s">
        <v>993</v>
      </c>
      <c r="C519" t="s">
        <v>38</v>
      </c>
      <c r="D519">
        <v>1990</v>
      </c>
      <c r="E519" s="1">
        <v>32954</v>
      </c>
      <c r="F519" t="s">
        <v>23</v>
      </c>
      <c r="G519" s="2">
        <v>2210109.31</v>
      </c>
      <c r="H519" s="2">
        <v>5093535.78</v>
      </c>
      <c r="I519" s="2">
        <v>7582609.1799999997</v>
      </c>
      <c r="J519" s="2">
        <v>1329010.57</v>
      </c>
      <c r="K519" s="2">
        <v>2159989.36</v>
      </c>
      <c r="L519">
        <v>7.2</v>
      </c>
      <c r="M519">
        <v>59</v>
      </c>
      <c r="N519">
        <v>30764</v>
      </c>
      <c r="O519">
        <v>278</v>
      </c>
      <c r="P519" t="s">
        <v>129</v>
      </c>
      <c r="Q519" t="s">
        <v>469</v>
      </c>
      <c r="R519" s="2">
        <f>Table1[[#This Row],[Global_BoxOfficeUSD]]-Table1[[#This Row],[BudgetUSD]]</f>
        <v>5372499.8699999992</v>
      </c>
      <c r="S519" s="15">
        <f>Table1[[#This Row],[Profit]]/Table1[[#This Row],[BudgetUSD]]</f>
        <v>2.4308751814633092</v>
      </c>
      <c r="T519" t="str">
        <f>IF(Table1[[#This Row],[ROI]]&gt;100%,"Hit","Flop")</f>
        <v>Hit</v>
      </c>
    </row>
    <row r="520" spans="1:20" x14ac:dyDescent="0.3">
      <c r="A520">
        <v>507</v>
      </c>
      <c r="B520" t="s">
        <v>914</v>
      </c>
      <c r="C520" t="s">
        <v>38</v>
      </c>
      <c r="D520">
        <v>1983</v>
      </c>
      <c r="E520" s="1">
        <v>30347</v>
      </c>
      <c r="F520" t="s">
        <v>23</v>
      </c>
      <c r="G520" s="2">
        <v>2053190.59</v>
      </c>
      <c r="H520" s="2">
        <v>4259113.32</v>
      </c>
      <c r="I520" s="2">
        <v>7557565.5599999996</v>
      </c>
      <c r="J520" s="2">
        <v>1012299.87</v>
      </c>
      <c r="K520" s="2">
        <v>2155925.7000000002</v>
      </c>
      <c r="L520">
        <v>4.3</v>
      </c>
      <c r="M520">
        <v>33</v>
      </c>
      <c r="N520">
        <v>8019</v>
      </c>
      <c r="O520">
        <v>112</v>
      </c>
      <c r="P520" t="s">
        <v>915</v>
      </c>
      <c r="Q520" t="s">
        <v>916</v>
      </c>
      <c r="R520" s="2">
        <f>Table1[[#This Row],[Global_BoxOfficeUSD]]-Table1[[#This Row],[BudgetUSD]]</f>
        <v>5504374.9699999997</v>
      </c>
      <c r="S520" s="15">
        <f>Table1[[#This Row],[Profit]]/Table1[[#This Row],[BudgetUSD]]</f>
        <v>2.680888465400574</v>
      </c>
      <c r="T520" t="str">
        <f>IF(Table1[[#This Row],[ROI]]&gt;100%,"Hit","Flop")</f>
        <v>Hit</v>
      </c>
    </row>
    <row r="521" spans="1:20" x14ac:dyDescent="0.3">
      <c r="A521">
        <v>821</v>
      </c>
      <c r="B521" t="s">
        <v>1238</v>
      </c>
      <c r="C521" t="s">
        <v>67</v>
      </c>
      <c r="D521">
        <v>2009</v>
      </c>
      <c r="E521" s="1">
        <v>40008</v>
      </c>
      <c r="F521" t="s">
        <v>23</v>
      </c>
      <c r="G521" s="2">
        <v>7522134.1699999999</v>
      </c>
      <c r="H521" s="2">
        <v>5235786.0599999996</v>
      </c>
      <c r="I521" s="2">
        <v>7522134.1699999999</v>
      </c>
      <c r="J521" s="2">
        <v>1371960.66</v>
      </c>
      <c r="K521" s="2">
        <v>3074214.61</v>
      </c>
      <c r="L521">
        <v>3.5</v>
      </c>
      <c r="M521">
        <v>31</v>
      </c>
      <c r="N521">
        <v>1843</v>
      </c>
      <c r="O521">
        <v>61</v>
      </c>
      <c r="P521" t="s">
        <v>161</v>
      </c>
      <c r="Q521" t="s">
        <v>1239</v>
      </c>
      <c r="R521" s="2">
        <f>Table1[[#This Row],[Global_BoxOfficeUSD]]-Table1[[#This Row],[BudgetUSD]]</f>
        <v>0</v>
      </c>
      <c r="S521" s="15">
        <f>Table1[[#This Row],[Profit]]/Table1[[#This Row],[BudgetUSD]]</f>
        <v>0</v>
      </c>
      <c r="T521" t="str">
        <f>IF(Table1[[#This Row],[ROI]]&gt;100%,"Hit","Flop")</f>
        <v>Flop</v>
      </c>
    </row>
    <row r="522" spans="1:20" x14ac:dyDescent="0.3">
      <c r="A522">
        <v>286</v>
      </c>
      <c r="B522" t="s">
        <v>622</v>
      </c>
      <c r="C522" t="s">
        <v>38</v>
      </c>
      <c r="D522">
        <v>1993</v>
      </c>
      <c r="E522" s="1">
        <v>34002</v>
      </c>
      <c r="F522" t="s">
        <v>23</v>
      </c>
      <c r="G522" s="2">
        <v>2353283.0499999998</v>
      </c>
      <c r="H522" s="2">
        <v>3779709.21</v>
      </c>
      <c r="I522" s="2">
        <v>7485613.8499999996</v>
      </c>
      <c r="J522" s="2">
        <v>603546.4</v>
      </c>
      <c r="K522" s="2">
        <v>1637977.81</v>
      </c>
      <c r="L522">
        <v>7.2</v>
      </c>
      <c r="M522">
        <v>66</v>
      </c>
      <c r="N522">
        <v>2517</v>
      </c>
      <c r="O522">
        <v>422</v>
      </c>
      <c r="P522" t="s">
        <v>441</v>
      </c>
      <c r="Q522" t="s">
        <v>623</v>
      </c>
      <c r="R522" s="2">
        <f>Table1[[#This Row],[Global_BoxOfficeUSD]]-Table1[[#This Row],[BudgetUSD]]</f>
        <v>5132330.8</v>
      </c>
      <c r="S522" s="15">
        <f>Table1[[#This Row],[Profit]]/Table1[[#This Row],[BudgetUSD]]</f>
        <v>2.1809237099634062</v>
      </c>
      <c r="T522" t="str">
        <f>IF(Table1[[#This Row],[ROI]]&gt;100%,"Hit","Flop")</f>
        <v>Hit</v>
      </c>
    </row>
    <row r="523" spans="1:20" x14ac:dyDescent="0.3">
      <c r="A523">
        <v>307</v>
      </c>
      <c r="B523" t="s">
        <v>487</v>
      </c>
      <c r="C523" t="s">
        <v>86</v>
      </c>
      <c r="D523">
        <v>1968</v>
      </c>
      <c r="E523" s="1">
        <v>25131</v>
      </c>
      <c r="F523" t="s">
        <v>249</v>
      </c>
      <c r="G523" s="2">
        <v>1500718.68</v>
      </c>
      <c r="H523" s="2">
        <v>4882857.2300000004</v>
      </c>
      <c r="I523" s="2">
        <v>7445819.9400000004</v>
      </c>
      <c r="J523" s="2">
        <v>697327.12</v>
      </c>
      <c r="K523" s="2">
        <v>2232657.98</v>
      </c>
      <c r="L523">
        <v>3.2</v>
      </c>
      <c r="M523">
        <v>29</v>
      </c>
      <c r="N523">
        <v>183</v>
      </c>
      <c r="O523">
        <v>50</v>
      </c>
      <c r="P523" t="s">
        <v>39</v>
      </c>
      <c r="Q523" t="s">
        <v>278</v>
      </c>
      <c r="R523" s="2">
        <f>Table1[[#This Row],[Global_BoxOfficeUSD]]-Table1[[#This Row],[BudgetUSD]]</f>
        <v>5945101.2600000007</v>
      </c>
      <c r="S523" s="15">
        <f>Table1[[#This Row],[Profit]]/Table1[[#This Row],[BudgetUSD]]</f>
        <v>3.9615028047761762</v>
      </c>
      <c r="T523" t="str">
        <f>IF(Table1[[#This Row],[ROI]]&gt;100%,"Hit","Flop")</f>
        <v>Hit</v>
      </c>
    </row>
    <row r="524" spans="1:20" x14ac:dyDescent="0.3">
      <c r="A524">
        <v>312</v>
      </c>
      <c r="B524" t="s">
        <v>656</v>
      </c>
      <c r="C524" t="s">
        <v>18</v>
      </c>
      <c r="D524">
        <v>1972</v>
      </c>
      <c r="E524" s="1">
        <v>26339</v>
      </c>
      <c r="F524" t="s">
        <v>132</v>
      </c>
      <c r="G524" s="2">
        <v>2821155.44</v>
      </c>
      <c r="H524" s="2">
        <v>3013125.99</v>
      </c>
      <c r="I524" s="2">
        <v>7445033.0099999998</v>
      </c>
      <c r="J524" s="2">
        <v>467720.07</v>
      </c>
      <c r="K524" s="2">
        <v>1591088.01</v>
      </c>
      <c r="L524">
        <v>7.3</v>
      </c>
      <c r="M524">
        <v>81</v>
      </c>
      <c r="N524">
        <v>5697</v>
      </c>
      <c r="O524">
        <v>399</v>
      </c>
      <c r="P524" t="s">
        <v>599</v>
      </c>
      <c r="Q524" t="s">
        <v>422</v>
      </c>
      <c r="R524" s="2">
        <f>Table1[[#This Row],[Global_BoxOfficeUSD]]-Table1[[#This Row],[BudgetUSD]]</f>
        <v>4623877.57</v>
      </c>
      <c r="S524" s="15">
        <f>Table1[[#This Row],[Profit]]/Table1[[#This Row],[BudgetUSD]]</f>
        <v>1.6390013483269821</v>
      </c>
      <c r="T524" t="str">
        <f>IF(Table1[[#This Row],[ROI]]&gt;100%,"Hit","Flop")</f>
        <v>Hit</v>
      </c>
    </row>
    <row r="525" spans="1:20" x14ac:dyDescent="0.3">
      <c r="A525">
        <v>957</v>
      </c>
      <c r="B525" t="s">
        <v>1366</v>
      </c>
      <c r="C525" t="s">
        <v>18</v>
      </c>
      <c r="D525">
        <v>2025</v>
      </c>
      <c r="E525" s="1">
        <v>46018</v>
      </c>
      <c r="F525" t="s">
        <v>23</v>
      </c>
      <c r="G525" s="2">
        <v>1582468.91</v>
      </c>
      <c r="H525" s="2">
        <v>4590536.9000000004</v>
      </c>
      <c r="I525" s="2">
        <v>7349405.5300000003</v>
      </c>
      <c r="J525" s="2">
        <v>1033142.28</v>
      </c>
      <c r="K525" s="2">
        <v>2304354.5</v>
      </c>
      <c r="L525">
        <v>6</v>
      </c>
      <c r="M525">
        <v>66</v>
      </c>
      <c r="N525">
        <v>6833</v>
      </c>
      <c r="O525">
        <v>50</v>
      </c>
      <c r="P525" t="s">
        <v>192</v>
      </c>
      <c r="Q525" t="s">
        <v>574</v>
      </c>
      <c r="R525" s="2">
        <f>Table1[[#This Row],[Global_BoxOfficeUSD]]-Table1[[#This Row],[BudgetUSD]]</f>
        <v>5766936.6200000001</v>
      </c>
      <c r="S525" s="15">
        <f>Table1[[#This Row],[Profit]]/Table1[[#This Row],[BudgetUSD]]</f>
        <v>3.6442653524232589</v>
      </c>
      <c r="T525" t="str">
        <f>IF(Table1[[#This Row],[ROI]]&gt;100%,"Hit","Flop")</f>
        <v>Hit</v>
      </c>
    </row>
    <row r="526" spans="1:20" x14ac:dyDescent="0.3">
      <c r="A526">
        <v>737</v>
      </c>
      <c r="B526" t="s">
        <v>1154</v>
      </c>
      <c r="C526" t="s">
        <v>86</v>
      </c>
      <c r="D526">
        <v>2002</v>
      </c>
      <c r="E526" s="1">
        <v>37446</v>
      </c>
      <c r="F526" t="s">
        <v>34</v>
      </c>
      <c r="G526" s="2">
        <v>3906032.24</v>
      </c>
      <c r="H526" s="2">
        <v>5053687.5</v>
      </c>
      <c r="I526" s="2">
        <v>7307379.8600000003</v>
      </c>
      <c r="J526" s="2">
        <v>1040106.25</v>
      </c>
      <c r="K526" s="2">
        <v>2865514.36</v>
      </c>
      <c r="L526">
        <v>5.8</v>
      </c>
      <c r="M526">
        <v>45</v>
      </c>
      <c r="N526">
        <v>4438</v>
      </c>
      <c r="O526">
        <v>441</v>
      </c>
      <c r="P526" t="s">
        <v>552</v>
      </c>
      <c r="Q526" t="s">
        <v>1155</v>
      </c>
      <c r="R526" s="2">
        <f>Table1[[#This Row],[Global_BoxOfficeUSD]]-Table1[[#This Row],[BudgetUSD]]</f>
        <v>3401347.62</v>
      </c>
      <c r="S526" s="15">
        <f>Table1[[#This Row],[Profit]]/Table1[[#This Row],[BudgetUSD]]</f>
        <v>0.87079353446401664</v>
      </c>
      <c r="T526" t="str">
        <f>IF(Table1[[#This Row],[ROI]]&gt;100%,"Hit","Flop")</f>
        <v>Flop</v>
      </c>
    </row>
    <row r="527" spans="1:20" x14ac:dyDescent="0.3">
      <c r="A527">
        <v>748</v>
      </c>
      <c r="B527" t="s">
        <v>1167</v>
      </c>
      <c r="C527" t="s">
        <v>45</v>
      </c>
      <c r="D527">
        <v>2023</v>
      </c>
      <c r="E527" s="1">
        <v>45260</v>
      </c>
      <c r="F527" t="s">
        <v>23</v>
      </c>
      <c r="G527" s="2">
        <v>3123270.55</v>
      </c>
      <c r="H527" s="2">
        <v>3040180.48</v>
      </c>
      <c r="I527" s="2">
        <v>7257791.4699999997</v>
      </c>
      <c r="J527" s="2">
        <v>311369.46000000002</v>
      </c>
      <c r="K527" s="2">
        <v>1610097.5</v>
      </c>
      <c r="L527">
        <v>5.2</v>
      </c>
      <c r="M527">
        <v>57</v>
      </c>
      <c r="N527">
        <v>6955</v>
      </c>
      <c r="O527">
        <v>976</v>
      </c>
      <c r="P527" t="s">
        <v>212</v>
      </c>
      <c r="Q527" t="s">
        <v>112</v>
      </c>
      <c r="R527" s="2">
        <f>Table1[[#This Row],[Global_BoxOfficeUSD]]-Table1[[#This Row],[BudgetUSD]]</f>
        <v>4134520.92</v>
      </c>
      <c r="S527" s="15">
        <f>Table1[[#This Row],[Profit]]/Table1[[#This Row],[BudgetUSD]]</f>
        <v>1.3237793056384437</v>
      </c>
      <c r="T527" t="str">
        <f>IF(Table1[[#This Row],[ROI]]&gt;100%,"Hit","Flop")</f>
        <v>Hit</v>
      </c>
    </row>
    <row r="528" spans="1:20" x14ac:dyDescent="0.3">
      <c r="A528">
        <v>489</v>
      </c>
      <c r="B528" t="s">
        <v>891</v>
      </c>
      <c r="C528" t="s">
        <v>86</v>
      </c>
      <c r="D528">
        <v>2000</v>
      </c>
      <c r="E528" s="1">
        <v>36712</v>
      </c>
      <c r="F528" t="s">
        <v>23</v>
      </c>
      <c r="G528" s="2">
        <v>1567779.37</v>
      </c>
      <c r="H528" s="2">
        <v>4916448.8</v>
      </c>
      <c r="I528" s="2">
        <v>7250357.0199999996</v>
      </c>
      <c r="J528" s="2">
        <v>1334872.3999999999</v>
      </c>
      <c r="K528" s="2">
        <v>2448141.6800000002</v>
      </c>
      <c r="L528">
        <v>5.0999999999999996</v>
      </c>
      <c r="M528">
        <v>44</v>
      </c>
      <c r="N528">
        <v>535</v>
      </c>
      <c r="O528">
        <v>333</v>
      </c>
      <c r="P528" t="s">
        <v>485</v>
      </c>
      <c r="Q528" t="s">
        <v>118</v>
      </c>
      <c r="R528" s="2">
        <f>Table1[[#This Row],[Global_BoxOfficeUSD]]-Table1[[#This Row],[BudgetUSD]]</f>
        <v>5682577.6499999994</v>
      </c>
      <c r="S528" s="15">
        <f>Table1[[#This Row],[Profit]]/Table1[[#This Row],[BudgetUSD]]</f>
        <v>3.6246028993224977</v>
      </c>
      <c r="T528" t="str">
        <f>IF(Table1[[#This Row],[ROI]]&gt;100%,"Hit","Flop")</f>
        <v>Hit</v>
      </c>
    </row>
    <row r="529" spans="1:20" x14ac:dyDescent="0.3">
      <c r="A529">
        <v>589</v>
      </c>
      <c r="B529" t="s">
        <v>1004</v>
      </c>
      <c r="C529" t="s">
        <v>18</v>
      </c>
      <c r="D529">
        <v>2014</v>
      </c>
      <c r="E529" s="1">
        <v>41884</v>
      </c>
      <c r="F529" t="s">
        <v>23</v>
      </c>
      <c r="G529" s="2">
        <v>1991278.27</v>
      </c>
      <c r="H529" s="2">
        <v>3766626.07</v>
      </c>
      <c r="I529" s="2">
        <v>7229323.75</v>
      </c>
      <c r="J529" s="2">
        <v>751542.35</v>
      </c>
      <c r="K529" s="2">
        <v>1589668.51</v>
      </c>
      <c r="L529">
        <v>6.6</v>
      </c>
      <c r="M529">
        <v>62</v>
      </c>
      <c r="N529">
        <v>626</v>
      </c>
      <c r="O529">
        <v>50</v>
      </c>
      <c r="P529" t="s">
        <v>27</v>
      </c>
      <c r="Q529" t="s">
        <v>724</v>
      </c>
      <c r="R529" s="2">
        <f>Table1[[#This Row],[Global_BoxOfficeUSD]]-Table1[[#This Row],[BudgetUSD]]</f>
        <v>5238045.4800000004</v>
      </c>
      <c r="S529" s="15">
        <f>Table1[[#This Row],[Profit]]/Table1[[#This Row],[BudgetUSD]]</f>
        <v>2.6304939690824831</v>
      </c>
      <c r="T529" t="str">
        <f>IF(Table1[[#This Row],[ROI]]&gt;100%,"Hit","Flop")</f>
        <v>Hit</v>
      </c>
    </row>
    <row r="530" spans="1:20" x14ac:dyDescent="0.3">
      <c r="A530">
        <v>49</v>
      </c>
      <c r="B530" t="s">
        <v>166</v>
      </c>
      <c r="C530" t="s">
        <v>77</v>
      </c>
      <c r="D530">
        <v>2012</v>
      </c>
      <c r="E530" s="1">
        <v>41227</v>
      </c>
      <c r="F530" t="s">
        <v>34</v>
      </c>
      <c r="G530" s="2">
        <v>1679677.57</v>
      </c>
      <c r="H530" s="2">
        <v>4653196.68</v>
      </c>
      <c r="I530" s="2">
        <v>7170484.6200000001</v>
      </c>
      <c r="J530" s="2">
        <v>698285.69</v>
      </c>
      <c r="K530" s="2">
        <v>2024793.94</v>
      </c>
      <c r="L530">
        <v>8.8000000000000007</v>
      </c>
      <c r="M530">
        <v>92</v>
      </c>
      <c r="N530">
        <v>4950</v>
      </c>
      <c r="O530">
        <v>149</v>
      </c>
      <c r="P530" t="s">
        <v>167</v>
      </c>
      <c r="Q530" t="s">
        <v>168</v>
      </c>
      <c r="R530" s="2">
        <f>Table1[[#This Row],[Global_BoxOfficeUSD]]-Table1[[#This Row],[BudgetUSD]]</f>
        <v>5490807.0499999998</v>
      </c>
      <c r="S530" s="15">
        <f>Table1[[#This Row],[Profit]]/Table1[[#This Row],[BudgetUSD]]</f>
        <v>3.2689649180705556</v>
      </c>
      <c r="T530" t="str">
        <f>IF(Table1[[#This Row],[ROI]]&gt;100%,"Hit","Flop")</f>
        <v>Hit</v>
      </c>
    </row>
    <row r="531" spans="1:20" x14ac:dyDescent="0.3">
      <c r="A531">
        <v>3</v>
      </c>
      <c r="B531" t="s">
        <v>26</v>
      </c>
      <c r="C531" t="s">
        <v>18</v>
      </c>
      <c r="D531">
        <v>1971</v>
      </c>
      <c r="E531" s="1">
        <v>26239</v>
      </c>
      <c r="F531" t="s">
        <v>23</v>
      </c>
      <c r="G531" s="2">
        <v>2468079.29</v>
      </c>
      <c r="H531" s="2">
        <v>4186694.69</v>
      </c>
      <c r="I531" s="2">
        <v>7165111.2400000002</v>
      </c>
      <c r="J531" s="2">
        <v>878453.95</v>
      </c>
      <c r="K531" s="2">
        <v>2171405.9300000002</v>
      </c>
      <c r="L531">
        <v>5.5</v>
      </c>
      <c r="M531">
        <v>55</v>
      </c>
      <c r="N531">
        <v>4678</v>
      </c>
      <c r="O531">
        <v>7805</v>
      </c>
      <c r="P531" t="s">
        <v>27</v>
      </c>
      <c r="Q531" t="s">
        <v>28</v>
      </c>
      <c r="R531" s="2">
        <f>Table1[[#This Row],[Global_BoxOfficeUSD]]-Table1[[#This Row],[BudgetUSD]]</f>
        <v>4697031.95</v>
      </c>
      <c r="S531" s="15">
        <f>Table1[[#This Row],[Profit]]/Table1[[#This Row],[BudgetUSD]]</f>
        <v>1.9031122577913613</v>
      </c>
      <c r="T531" t="str">
        <f>IF(Table1[[#This Row],[ROI]]&gt;100%,"Hit","Flop")</f>
        <v>Hit</v>
      </c>
    </row>
    <row r="532" spans="1:20" x14ac:dyDescent="0.3">
      <c r="A532">
        <v>181</v>
      </c>
      <c r="B532" t="s">
        <v>457</v>
      </c>
      <c r="C532" t="s">
        <v>45</v>
      </c>
      <c r="D532">
        <v>2007</v>
      </c>
      <c r="E532" s="1">
        <v>39232</v>
      </c>
      <c r="F532" t="s">
        <v>19</v>
      </c>
      <c r="G532" s="2">
        <v>2302264.63</v>
      </c>
      <c r="H532" s="2">
        <v>3885872.97</v>
      </c>
      <c r="I532" s="2">
        <v>7129132.54</v>
      </c>
      <c r="J532" s="2">
        <v>865043.4</v>
      </c>
      <c r="K532" s="2">
        <v>1797559.12</v>
      </c>
      <c r="L532">
        <v>3.9</v>
      </c>
      <c r="M532">
        <v>54</v>
      </c>
      <c r="N532">
        <v>694</v>
      </c>
      <c r="O532">
        <v>680</v>
      </c>
      <c r="P532" t="s">
        <v>458</v>
      </c>
      <c r="Q532" t="s">
        <v>105</v>
      </c>
      <c r="R532" s="2">
        <f>Table1[[#This Row],[Global_BoxOfficeUSD]]-Table1[[#This Row],[BudgetUSD]]</f>
        <v>4826867.91</v>
      </c>
      <c r="S532" s="15">
        <f>Table1[[#This Row],[Profit]]/Table1[[#This Row],[BudgetUSD]]</f>
        <v>2.096573889509826</v>
      </c>
      <c r="T532" t="str">
        <f>IF(Table1[[#This Row],[ROI]]&gt;100%,"Hit","Flop")</f>
        <v>Hit</v>
      </c>
    </row>
    <row r="533" spans="1:20" x14ac:dyDescent="0.3">
      <c r="A533">
        <v>934</v>
      </c>
      <c r="B533" t="s">
        <v>1341</v>
      </c>
      <c r="C533" t="s">
        <v>38</v>
      </c>
      <c r="D533">
        <v>1966</v>
      </c>
      <c r="E533" s="1">
        <v>24287</v>
      </c>
      <c r="F533" t="s">
        <v>249</v>
      </c>
      <c r="G533" s="2">
        <v>7127853.4299999997</v>
      </c>
      <c r="H533" s="2">
        <v>3745038.5</v>
      </c>
      <c r="I533" s="2">
        <v>7127853.4299999997</v>
      </c>
      <c r="J533" s="2">
        <v>827710.98</v>
      </c>
      <c r="K533" s="2">
        <v>1782040.83</v>
      </c>
      <c r="L533">
        <v>6</v>
      </c>
      <c r="M533">
        <v>83</v>
      </c>
      <c r="N533">
        <v>4236</v>
      </c>
      <c r="O533">
        <v>533</v>
      </c>
      <c r="P533" t="s">
        <v>260</v>
      </c>
      <c r="Q533" t="s">
        <v>895</v>
      </c>
      <c r="R533" s="2">
        <f>Table1[[#This Row],[Global_BoxOfficeUSD]]-Table1[[#This Row],[BudgetUSD]]</f>
        <v>0</v>
      </c>
      <c r="S533" s="15">
        <f>Table1[[#This Row],[Profit]]/Table1[[#This Row],[BudgetUSD]]</f>
        <v>0</v>
      </c>
      <c r="T533" t="str">
        <f>IF(Table1[[#This Row],[ROI]]&gt;100%,"Hit","Flop")</f>
        <v>Flop</v>
      </c>
    </row>
    <row r="534" spans="1:20" x14ac:dyDescent="0.3">
      <c r="A534">
        <v>790</v>
      </c>
      <c r="B534" t="s">
        <v>1210</v>
      </c>
      <c r="C534" t="s">
        <v>38</v>
      </c>
      <c r="D534">
        <v>1984</v>
      </c>
      <c r="E534" s="1">
        <v>31019</v>
      </c>
      <c r="F534" t="s">
        <v>23</v>
      </c>
      <c r="G534" s="2">
        <v>2497134.02</v>
      </c>
      <c r="H534" s="2">
        <v>4058914.17</v>
      </c>
      <c r="I534" s="2">
        <v>7101247.6500000004</v>
      </c>
      <c r="J534" s="2">
        <v>852465.34</v>
      </c>
      <c r="K534" s="2">
        <v>2199357.14</v>
      </c>
      <c r="L534">
        <v>8</v>
      </c>
      <c r="M534">
        <v>87</v>
      </c>
      <c r="N534">
        <v>4676</v>
      </c>
      <c r="O534">
        <v>612</v>
      </c>
      <c r="P534" t="s">
        <v>490</v>
      </c>
      <c r="Q534" t="s">
        <v>901</v>
      </c>
      <c r="R534" s="2">
        <f>Table1[[#This Row],[Global_BoxOfficeUSD]]-Table1[[#This Row],[BudgetUSD]]</f>
        <v>4604113.6300000008</v>
      </c>
      <c r="S534" s="15">
        <f>Table1[[#This Row],[Profit]]/Table1[[#This Row],[BudgetUSD]]</f>
        <v>1.8437591227082</v>
      </c>
      <c r="T534" t="str">
        <f>IF(Table1[[#This Row],[ROI]]&gt;100%,"Hit","Flop")</f>
        <v>Hit</v>
      </c>
    </row>
    <row r="535" spans="1:20" x14ac:dyDescent="0.3">
      <c r="A535">
        <v>540</v>
      </c>
      <c r="B535" t="s">
        <v>949</v>
      </c>
      <c r="C535" t="s">
        <v>38</v>
      </c>
      <c r="D535">
        <v>1969</v>
      </c>
      <c r="E535" s="1">
        <v>25213</v>
      </c>
      <c r="F535" t="s">
        <v>23</v>
      </c>
      <c r="G535" s="2">
        <v>5201078.42</v>
      </c>
      <c r="H535" s="2">
        <v>4561973.18</v>
      </c>
      <c r="I535" s="2">
        <v>7059362.2199999997</v>
      </c>
      <c r="J535" s="2">
        <v>1322680.25</v>
      </c>
      <c r="K535" s="2">
        <v>2277894.89</v>
      </c>
      <c r="L535">
        <v>9.8000000000000007</v>
      </c>
      <c r="M535">
        <v>100</v>
      </c>
      <c r="N535">
        <v>519</v>
      </c>
      <c r="O535">
        <v>1444</v>
      </c>
      <c r="P535" t="s">
        <v>219</v>
      </c>
      <c r="Q535" t="s">
        <v>950</v>
      </c>
      <c r="R535" s="2">
        <f>Table1[[#This Row],[Global_BoxOfficeUSD]]-Table1[[#This Row],[BudgetUSD]]</f>
        <v>1858283.7999999998</v>
      </c>
      <c r="S535" s="15">
        <f>Table1[[#This Row],[Profit]]/Table1[[#This Row],[BudgetUSD]]</f>
        <v>0.35728817178649652</v>
      </c>
      <c r="T535" t="str">
        <f>IF(Table1[[#This Row],[ROI]]&gt;100%,"Hit","Flop")</f>
        <v>Flop</v>
      </c>
    </row>
    <row r="536" spans="1:20" x14ac:dyDescent="0.3">
      <c r="A536">
        <v>632</v>
      </c>
      <c r="B536" t="s">
        <v>1050</v>
      </c>
      <c r="C536" t="s">
        <v>67</v>
      </c>
      <c r="D536">
        <v>2016</v>
      </c>
      <c r="E536" s="1">
        <v>42381</v>
      </c>
      <c r="F536" t="s">
        <v>23</v>
      </c>
      <c r="G536" s="2">
        <v>2258403.16</v>
      </c>
      <c r="H536" s="2">
        <v>4107839.43</v>
      </c>
      <c r="I536" s="2">
        <v>6978982.71</v>
      </c>
      <c r="J536" s="2">
        <v>717344.31</v>
      </c>
      <c r="K536" s="2">
        <v>2257475.38</v>
      </c>
      <c r="L536">
        <v>7.1</v>
      </c>
      <c r="M536">
        <v>68</v>
      </c>
      <c r="N536">
        <v>2640</v>
      </c>
      <c r="O536">
        <v>235</v>
      </c>
      <c r="P536" t="s">
        <v>385</v>
      </c>
      <c r="Q536" t="s">
        <v>497</v>
      </c>
      <c r="R536" s="2">
        <f>Table1[[#This Row],[Global_BoxOfficeUSD]]-Table1[[#This Row],[BudgetUSD]]</f>
        <v>4720579.55</v>
      </c>
      <c r="S536" s="15">
        <f>Table1[[#This Row],[Profit]]/Table1[[#This Row],[BudgetUSD]]</f>
        <v>2.0902288987232907</v>
      </c>
      <c r="T536" t="str">
        <f>IF(Table1[[#This Row],[ROI]]&gt;100%,"Hit","Flop")</f>
        <v>Hit</v>
      </c>
    </row>
    <row r="537" spans="1:20" x14ac:dyDescent="0.3">
      <c r="A537">
        <v>138</v>
      </c>
      <c r="B537" t="s">
        <v>367</v>
      </c>
      <c r="C537" t="s">
        <v>45</v>
      </c>
      <c r="D537">
        <v>2006</v>
      </c>
      <c r="E537" s="1">
        <v>38781</v>
      </c>
      <c r="F537" t="s">
        <v>23</v>
      </c>
      <c r="G537" s="2">
        <v>1469711.85</v>
      </c>
      <c r="H537" s="2">
        <v>3276156.3</v>
      </c>
      <c r="I537" s="2">
        <v>6975692.1600000001</v>
      </c>
      <c r="J537" s="2">
        <v>513714.25</v>
      </c>
      <c r="K537" s="2">
        <v>1860294.77</v>
      </c>
      <c r="L537">
        <v>4.5999999999999996</v>
      </c>
      <c r="M537">
        <v>43</v>
      </c>
      <c r="N537">
        <v>6891</v>
      </c>
      <c r="O537">
        <v>257</v>
      </c>
      <c r="P537" t="s">
        <v>368</v>
      </c>
      <c r="Q537" t="s">
        <v>238</v>
      </c>
      <c r="R537" s="2">
        <f>Table1[[#This Row],[Global_BoxOfficeUSD]]-Table1[[#This Row],[BudgetUSD]]</f>
        <v>5505980.3100000005</v>
      </c>
      <c r="S537" s="15">
        <f>Table1[[#This Row],[Profit]]/Table1[[#This Row],[BudgetUSD]]</f>
        <v>3.7462991878305942</v>
      </c>
      <c r="T537" t="str">
        <f>IF(Table1[[#This Row],[ROI]]&gt;100%,"Hit","Flop")</f>
        <v>Hit</v>
      </c>
    </row>
    <row r="538" spans="1:20" x14ac:dyDescent="0.3">
      <c r="A538">
        <v>847</v>
      </c>
      <c r="B538" t="s">
        <v>1265</v>
      </c>
      <c r="C538" t="s">
        <v>38</v>
      </c>
      <c r="D538">
        <v>1998</v>
      </c>
      <c r="E538" s="1">
        <v>35854</v>
      </c>
      <c r="F538" t="s">
        <v>152</v>
      </c>
      <c r="G538" s="2">
        <v>1564303.64</v>
      </c>
      <c r="H538" s="2">
        <v>3551023.65</v>
      </c>
      <c r="I538" s="2">
        <v>6972689.1799999997</v>
      </c>
      <c r="J538" s="2">
        <v>434556.26</v>
      </c>
      <c r="K538" s="2">
        <v>1782668.86</v>
      </c>
      <c r="L538">
        <v>5</v>
      </c>
      <c r="M538">
        <v>35</v>
      </c>
      <c r="N538">
        <v>2651</v>
      </c>
      <c r="O538">
        <v>237</v>
      </c>
      <c r="P538" t="s">
        <v>756</v>
      </c>
      <c r="Q538" t="s">
        <v>180</v>
      </c>
      <c r="R538" s="2">
        <f>Table1[[#This Row],[Global_BoxOfficeUSD]]-Table1[[#This Row],[BudgetUSD]]</f>
        <v>5408385.54</v>
      </c>
      <c r="S538" s="15">
        <f>Table1[[#This Row],[Profit]]/Table1[[#This Row],[BudgetUSD]]</f>
        <v>3.4573757943822212</v>
      </c>
      <c r="T538" t="str">
        <f>IF(Table1[[#This Row],[ROI]]&gt;100%,"Hit","Flop")</f>
        <v>Hit</v>
      </c>
    </row>
    <row r="539" spans="1:20" x14ac:dyDescent="0.3">
      <c r="A539">
        <v>411</v>
      </c>
      <c r="B539" t="s">
        <v>790</v>
      </c>
      <c r="C539" t="s">
        <v>77</v>
      </c>
      <c r="D539">
        <v>1996</v>
      </c>
      <c r="E539" s="1">
        <v>35404</v>
      </c>
      <c r="F539" t="s">
        <v>249</v>
      </c>
      <c r="G539" s="2">
        <v>6847585.3799999999</v>
      </c>
      <c r="H539" s="2">
        <v>3703040.6</v>
      </c>
      <c r="I539" s="2">
        <v>6934723.4699999997</v>
      </c>
      <c r="J539" s="2">
        <v>983307.91</v>
      </c>
      <c r="K539" s="2">
        <v>1881234.58</v>
      </c>
      <c r="L539">
        <v>8.1999999999999993</v>
      </c>
      <c r="M539">
        <v>86</v>
      </c>
      <c r="N539">
        <v>1137</v>
      </c>
      <c r="O539">
        <v>165</v>
      </c>
      <c r="P539" t="s">
        <v>30</v>
      </c>
      <c r="Q539" t="s">
        <v>460</v>
      </c>
      <c r="R539" s="2">
        <f>Table1[[#This Row],[Global_BoxOfficeUSD]]-Table1[[#This Row],[BudgetUSD]]</f>
        <v>87138.089999999851</v>
      </c>
      <c r="S539" s="15">
        <f>Table1[[#This Row],[Profit]]/Table1[[#This Row],[BudgetUSD]]</f>
        <v>1.2725374736400856E-2</v>
      </c>
      <c r="T539" t="str">
        <f>IF(Table1[[#This Row],[ROI]]&gt;100%,"Hit","Flop")</f>
        <v>Flop</v>
      </c>
    </row>
    <row r="540" spans="1:20" x14ac:dyDescent="0.3">
      <c r="A540">
        <v>916</v>
      </c>
      <c r="B540" t="s">
        <v>309</v>
      </c>
      <c r="C540" t="s">
        <v>45</v>
      </c>
      <c r="D540">
        <v>2009</v>
      </c>
      <c r="E540" s="1">
        <v>39894</v>
      </c>
      <c r="F540" t="s">
        <v>19</v>
      </c>
      <c r="G540" s="2">
        <v>2231881.63</v>
      </c>
      <c r="H540" s="2">
        <v>4554087.33</v>
      </c>
      <c r="I540" s="2">
        <v>6877162.71</v>
      </c>
      <c r="J540" s="2">
        <v>788501.96</v>
      </c>
      <c r="K540" s="2">
        <v>2470960.89</v>
      </c>
      <c r="L540">
        <v>6.4</v>
      </c>
      <c r="M540">
        <v>42</v>
      </c>
      <c r="N540">
        <v>1346</v>
      </c>
      <c r="O540">
        <v>3937</v>
      </c>
      <c r="P540" t="s">
        <v>271</v>
      </c>
      <c r="Q540" t="s">
        <v>996</v>
      </c>
      <c r="R540" s="2">
        <f>Table1[[#This Row],[Global_BoxOfficeUSD]]-Table1[[#This Row],[BudgetUSD]]</f>
        <v>4645281.08</v>
      </c>
      <c r="S540" s="15">
        <f>Table1[[#This Row],[Profit]]/Table1[[#This Row],[BudgetUSD]]</f>
        <v>2.0813295013320219</v>
      </c>
      <c r="T540" t="str">
        <f>IF(Table1[[#This Row],[ROI]]&gt;100%,"Hit","Flop")</f>
        <v>Hit</v>
      </c>
    </row>
    <row r="541" spans="1:20" x14ac:dyDescent="0.3">
      <c r="A541">
        <v>787</v>
      </c>
      <c r="B541" t="s">
        <v>1207</v>
      </c>
      <c r="C541" t="s">
        <v>45</v>
      </c>
      <c r="D541">
        <v>2022</v>
      </c>
      <c r="E541" s="1">
        <v>44852</v>
      </c>
      <c r="F541" t="s">
        <v>132</v>
      </c>
      <c r="G541" s="2">
        <v>3158350.83</v>
      </c>
      <c r="H541" s="2">
        <v>4003492.56</v>
      </c>
      <c r="I541" s="2">
        <v>6862044.1500000004</v>
      </c>
      <c r="J541" s="2">
        <v>1105450.6299999999</v>
      </c>
      <c r="K541" s="2">
        <v>2243117.34</v>
      </c>
      <c r="L541">
        <v>6.8</v>
      </c>
      <c r="M541">
        <v>62</v>
      </c>
      <c r="N541">
        <v>2339</v>
      </c>
      <c r="O541">
        <v>129</v>
      </c>
      <c r="P541" t="s">
        <v>316</v>
      </c>
      <c r="Q541" t="s">
        <v>338</v>
      </c>
      <c r="R541" s="2">
        <f>Table1[[#This Row],[Global_BoxOfficeUSD]]-Table1[[#This Row],[BudgetUSD]]</f>
        <v>3703693.3200000003</v>
      </c>
      <c r="S541" s="15">
        <f>Table1[[#This Row],[Profit]]/Table1[[#This Row],[BudgetUSD]]</f>
        <v>1.1726668503131428</v>
      </c>
      <c r="T541" t="str">
        <f>IF(Table1[[#This Row],[ROI]]&gt;100%,"Hit","Flop")</f>
        <v>Hit</v>
      </c>
    </row>
    <row r="542" spans="1:20" x14ac:dyDescent="0.3">
      <c r="A542">
        <v>872</v>
      </c>
      <c r="B542" t="s">
        <v>1288</v>
      </c>
      <c r="C542" t="s">
        <v>33</v>
      </c>
      <c r="D542">
        <v>1969</v>
      </c>
      <c r="E542" s="1">
        <v>25353</v>
      </c>
      <c r="F542" t="s">
        <v>249</v>
      </c>
      <c r="G542" s="2">
        <v>2237390.1800000002</v>
      </c>
      <c r="H542" s="2">
        <v>4274505.3600000003</v>
      </c>
      <c r="I542" s="2">
        <v>6847983.3600000003</v>
      </c>
      <c r="J542" s="2">
        <v>581478.31000000006</v>
      </c>
      <c r="K542" s="2">
        <v>1909767.22</v>
      </c>
      <c r="L542">
        <v>10</v>
      </c>
      <c r="M542">
        <v>92</v>
      </c>
      <c r="N542">
        <v>16483</v>
      </c>
      <c r="O542">
        <v>3385</v>
      </c>
      <c r="P542" t="s">
        <v>252</v>
      </c>
      <c r="Q542" t="s">
        <v>819</v>
      </c>
      <c r="R542" s="2">
        <f>Table1[[#This Row],[Global_BoxOfficeUSD]]-Table1[[#This Row],[BudgetUSD]]</f>
        <v>4610593.18</v>
      </c>
      <c r="S542" s="15">
        <f>Table1[[#This Row],[Profit]]/Table1[[#This Row],[BudgetUSD]]</f>
        <v>2.0607014463610454</v>
      </c>
      <c r="T542" t="str">
        <f>IF(Table1[[#This Row],[ROI]]&gt;100%,"Hit","Flop")</f>
        <v>Hit</v>
      </c>
    </row>
    <row r="543" spans="1:20" x14ac:dyDescent="0.3">
      <c r="A543">
        <v>704</v>
      </c>
      <c r="B543" t="s">
        <v>1123</v>
      </c>
      <c r="C543" t="s">
        <v>38</v>
      </c>
      <c r="D543">
        <v>1982</v>
      </c>
      <c r="E543" s="1">
        <v>30104</v>
      </c>
      <c r="F543" t="s">
        <v>23</v>
      </c>
      <c r="G543" s="2">
        <v>5373621.2000000002</v>
      </c>
      <c r="H543" s="2">
        <v>4453478.3499999996</v>
      </c>
      <c r="I543" s="2">
        <v>6837553.75</v>
      </c>
      <c r="J543" s="2">
        <v>896931.35</v>
      </c>
      <c r="K543" s="2">
        <v>1991404.7</v>
      </c>
      <c r="L543">
        <v>7.5</v>
      </c>
      <c r="M543">
        <v>65</v>
      </c>
      <c r="N543">
        <v>17217</v>
      </c>
      <c r="O543">
        <v>2080</v>
      </c>
      <c r="P543" t="s">
        <v>552</v>
      </c>
      <c r="Q543" t="s">
        <v>258</v>
      </c>
      <c r="R543" s="2">
        <f>Table1[[#This Row],[Global_BoxOfficeUSD]]-Table1[[#This Row],[BudgetUSD]]</f>
        <v>1463932.5499999998</v>
      </c>
      <c r="S543" s="15">
        <f>Table1[[#This Row],[Profit]]/Table1[[#This Row],[BudgetUSD]]</f>
        <v>0.27242942803634906</v>
      </c>
      <c r="T543" t="str">
        <f>IF(Table1[[#This Row],[ROI]]&gt;100%,"Hit","Flop")</f>
        <v>Flop</v>
      </c>
    </row>
    <row r="544" spans="1:20" x14ac:dyDescent="0.3">
      <c r="A544">
        <v>652</v>
      </c>
      <c r="B544" t="s">
        <v>1072</v>
      </c>
      <c r="C544" t="s">
        <v>67</v>
      </c>
      <c r="D544">
        <v>2003</v>
      </c>
      <c r="E544" s="1">
        <v>37969</v>
      </c>
      <c r="F544" t="s">
        <v>23</v>
      </c>
      <c r="G544" s="2">
        <v>2300739.89</v>
      </c>
      <c r="H544" s="2">
        <v>2723458.92</v>
      </c>
      <c r="I544" s="2">
        <v>6793883.7699999996</v>
      </c>
      <c r="J544" s="2">
        <v>501679.43</v>
      </c>
      <c r="K544" s="2">
        <v>1152643.49</v>
      </c>
      <c r="L544">
        <v>8.6999999999999993</v>
      </c>
      <c r="M544">
        <v>100</v>
      </c>
      <c r="N544">
        <v>831</v>
      </c>
      <c r="O544">
        <v>525</v>
      </c>
      <c r="P544" t="s">
        <v>769</v>
      </c>
      <c r="Q544" t="s">
        <v>662</v>
      </c>
      <c r="R544" s="2">
        <f>Table1[[#This Row],[Global_BoxOfficeUSD]]-Table1[[#This Row],[BudgetUSD]]</f>
        <v>4493143.879999999</v>
      </c>
      <c r="S544" s="15">
        <f>Table1[[#This Row],[Profit]]/Table1[[#This Row],[BudgetUSD]]</f>
        <v>1.9529125823953957</v>
      </c>
      <c r="T544" t="str">
        <f>IF(Table1[[#This Row],[ROI]]&gt;100%,"Hit","Flop")</f>
        <v>Hit</v>
      </c>
    </row>
    <row r="545" spans="1:20" x14ac:dyDescent="0.3">
      <c r="A545">
        <v>43</v>
      </c>
      <c r="B545" t="s">
        <v>148</v>
      </c>
      <c r="C545" t="s">
        <v>38</v>
      </c>
      <c r="D545">
        <v>2015</v>
      </c>
      <c r="E545" s="1">
        <v>42211</v>
      </c>
      <c r="F545" t="s">
        <v>23</v>
      </c>
      <c r="G545" s="2">
        <v>1556340.37</v>
      </c>
      <c r="H545" s="2">
        <v>4331530.1900000004</v>
      </c>
      <c r="I545" s="2">
        <v>6783887.3600000003</v>
      </c>
      <c r="J545" s="2">
        <v>775833.56</v>
      </c>
      <c r="K545" s="2">
        <v>1910484.32</v>
      </c>
      <c r="L545">
        <v>5.9</v>
      </c>
      <c r="M545">
        <v>71</v>
      </c>
      <c r="N545">
        <v>3443</v>
      </c>
      <c r="O545">
        <v>50</v>
      </c>
      <c r="P545" t="s">
        <v>149</v>
      </c>
      <c r="Q545" t="s">
        <v>150</v>
      </c>
      <c r="R545" s="2">
        <f>Table1[[#This Row],[Global_BoxOfficeUSD]]-Table1[[#This Row],[BudgetUSD]]</f>
        <v>5227546.99</v>
      </c>
      <c r="S545" s="15">
        <f>Table1[[#This Row],[Profit]]/Table1[[#This Row],[BudgetUSD]]</f>
        <v>3.3588712924024451</v>
      </c>
      <c r="T545" t="str">
        <f>IF(Table1[[#This Row],[ROI]]&gt;100%,"Hit","Flop")</f>
        <v>Hit</v>
      </c>
    </row>
    <row r="546" spans="1:20" x14ac:dyDescent="0.3">
      <c r="A546">
        <v>860</v>
      </c>
      <c r="B546" t="s">
        <v>1277</v>
      </c>
      <c r="C546" t="s">
        <v>67</v>
      </c>
      <c r="D546">
        <v>1992</v>
      </c>
      <c r="E546" s="1">
        <v>33842</v>
      </c>
      <c r="F546" t="s">
        <v>23</v>
      </c>
      <c r="G546" s="2">
        <v>6764658.29</v>
      </c>
      <c r="H546" s="2">
        <v>3306409.27</v>
      </c>
      <c r="I546" s="2">
        <v>6764658.29</v>
      </c>
      <c r="J546" s="2">
        <v>714510.04</v>
      </c>
      <c r="K546" s="2">
        <v>1599152.75</v>
      </c>
      <c r="L546">
        <v>5.5</v>
      </c>
      <c r="M546">
        <v>38</v>
      </c>
      <c r="N546">
        <v>876</v>
      </c>
      <c r="O546">
        <v>13876</v>
      </c>
      <c r="P546" t="s">
        <v>123</v>
      </c>
      <c r="Q546" t="s">
        <v>439</v>
      </c>
      <c r="R546" s="2">
        <f>Table1[[#This Row],[Global_BoxOfficeUSD]]-Table1[[#This Row],[BudgetUSD]]</f>
        <v>0</v>
      </c>
      <c r="S546" s="15">
        <f>Table1[[#This Row],[Profit]]/Table1[[#This Row],[BudgetUSD]]</f>
        <v>0</v>
      </c>
      <c r="T546" t="str">
        <f>IF(Table1[[#This Row],[ROI]]&gt;100%,"Hit","Flop")</f>
        <v>Flop</v>
      </c>
    </row>
    <row r="547" spans="1:20" x14ac:dyDescent="0.3">
      <c r="A547">
        <v>493</v>
      </c>
      <c r="B547" t="s">
        <v>896</v>
      </c>
      <c r="C547" t="s">
        <v>38</v>
      </c>
      <c r="D547">
        <v>2005</v>
      </c>
      <c r="E547" s="1">
        <v>38696</v>
      </c>
      <c r="F547" t="s">
        <v>23</v>
      </c>
      <c r="G547" s="2">
        <v>3181528.61</v>
      </c>
      <c r="H547" s="2">
        <v>3125087.47</v>
      </c>
      <c r="I547" s="2">
        <v>6750608.9400000004</v>
      </c>
      <c r="J547" s="2">
        <v>344926.57</v>
      </c>
      <c r="K547" s="2">
        <v>1648383.38</v>
      </c>
      <c r="L547">
        <v>6.3</v>
      </c>
      <c r="M547">
        <v>77</v>
      </c>
      <c r="N547">
        <v>1590</v>
      </c>
      <c r="O547">
        <v>170</v>
      </c>
      <c r="P547" t="s">
        <v>658</v>
      </c>
      <c r="Q547" t="s">
        <v>627</v>
      </c>
      <c r="R547" s="2">
        <f>Table1[[#This Row],[Global_BoxOfficeUSD]]-Table1[[#This Row],[BudgetUSD]]</f>
        <v>3569080.3300000005</v>
      </c>
      <c r="S547" s="15">
        <f>Table1[[#This Row],[Profit]]/Table1[[#This Row],[BudgetUSD]]</f>
        <v>1.1218130551401833</v>
      </c>
      <c r="T547" t="str">
        <f>IF(Table1[[#This Row],[ROI]]&gt;100%,"Hit","Flop")</f>
        <v>Hit</v>
      </c>
    </row>
    <row r="548" spans="1:20" x14ac:dyDescent="0.3">
      <c r="A548">
        <v>10</v>
      </c>
      <c r="B548" t="s">
        <v>51</v>
      </c>
      <c r="C548" t="s">
        <v>33</v>
      </c>
      <c r="D548">
        <v>2005</v>
      </c>
      <c r="E548" s="1">
        <v>38601</v>
      </c>
      <c r="F548" t="s">
        <v>23</v>
      </c>
      <c r="G548" s="2">
        <v>1354686.21</v>
      </c>
      <c r="H548" s="2">
        <v>3837061.91</v>
      </c>
      <c r="I548" s="2">
        <v>6747065.4199999999</v>
      </c>
      <c r="J548" s="2">
        <v>440667.37</v>
      </c>
      <c r="K548" s="2">
        <v>2031776.94</v>
      </c>
      <c r="L548">
        <v>8.4</v>
      </c>
      <c r="M548">
        <v>87</v>
      </c>
      <c r="N548">
        <v>10079</v>
      </c>
      <c r="O548">
        <v>514</v>
      </c>
      <c r="P548" t="s">
        <v>52</v>
      </c>
      <c r="Q548" t="s">
        <v>53</v>
      </c>
      <c r="R548" s="2">
        <f>Table1[[#This Row],[Global_BoxOfficeUSD]]-Table1[[#This Row],[BudgetUSD]]</f>
        <v>5392379.21</v>
      </c>
      <c r="S548" s="15">
        <f>Table1[[#This Row],[Profit]]/Table1[[#This Row],[BudgetUSD]]</f>
        <v>3.9805374633583965</v>
      </c>
      <c r="T548" t="str">
        <f>IF(Table1[[#This Row],[ROI]]&gt;100%,"Hit","Flop")</f>
        <v>Hit</v>
      </c>
    </row>
    <row r="549" spans="1:20" x14ac:dyDescent="0.3">
      <c r="A549">
        <v>102</v>
      </c>
      <c r="B549" t="s">
        <v>291</v>
      </c>
      <c r="C549" t="s">
        <v>38</v>
      </c>
      <c r="D549">
        <v>1996</v>
      </c>
      <c r="E549" s="1">
        <v>35182</v>
      </c>
      <c r="F549" t="s">
        <v>23</v>
      </c>
      <c r="G549" s="2">
        <v>3371043.88</v>
      </c>
      <c r="H549" s="2">
        <v>3339465.73</v>
      </c>
      <c r="I549" s="2">
        <v>6730363.3600000003</v>
      </c>
      <c r="J549" s="2">
        <v>672049.71</v>
      </c>
      <c r="K549" s="2">
        <v>1672742.51</v>
      </c>
      <c r="L549">
        <v>5.2</v>
      </c>
      <c r="M549">
        <v>62</v>
      </c>
      <c r="N549">
        <v>2688</v>
      </c>
      <c r="O549">
        <v>2768</v>
      </c>
      <c r="P549" t="s">
        <v>292</v>
      </c>
      <c r="Q549" t="s">
        <v>293</v>
      </c>
      <c r="R549" s="2">
        <f>Table1[[#This Row],[Global_BoxOfficeUSD]]-Table1[[#This Row],[BudgetUSD]]</f>
        <v>3359319.4800000004</v>
      </c>
      <c r="S549" s="15">
        <f>Table1[[#This Row],[Profit]]/Table1[[#This Row],[BudgetUSD]]</f>
        <v>0.99652202688029101</v>
      </c>
      <c r="T549" t="str">
        <f>IF(Table1[[#This Row],[ROI]]&gt;100%,"Hit","Flop")</f>
        <v>Flop</v>
      </c>
    </row>
    <row r="550" spans="1:20" x14ac:dyDescent="0.3">
      <c r="A550">
        <v>503</v>
      </c>
      <c r="B550" t="s">
        <v>909</v>
      </c>
      <c r="C550" t="s">
        <v>33</v>
      </c>
      <c r="D550">
        <v>2017</v>
      </c>
      <c r="E550" s="1">
        <v>42877</v>
      </c>
      <c r="F550" t="s">
        <v>23</v>
      </c>
      <c r="G550" s="2">
        <v>4075325</v>
      </c>
      <c r="H550" s="2">
        <v>3138368.2</v>
      </c>
      <c r="I550" s="2">
        <v>6689510.6699999999</v>
      </c>
      <c r="J550" s="2">
        <v>555477.47</v>
      </c>
      <c r="K550" s="2">
        <v>1461930.84</v>
      </c>
      <c r="L550">
        <v>8</v>
      </c>
      <c r="M550">
        <v>72</v>
      </c>
      <c r="N550">
        <v>2913</v>
      </c>
      <c r="O550">
        <v>165</v>
      </c>
      <c r="P550" t="s">
        <v>530</v>
      </c>
      <c r="Q550" t="s">
        <v>75</v>
      </c>
      <c r="R550" s="2">
        <f>Table1[[#This Row],[Global_BoxOfficeUSD]]-Table1[[#This Row],[BudgetUSD]]</f>
        <v>2614185.67</v>
      </c>
      <c r="S550" s="15">
        <f>Table1[[#This Row],[Profit]]/Table1[[#This Row],[BudgetUSD]]</f>
        <v>0.64146679589971345</v>
      </c>
      <c r="T550" t="str">
        <f>IF(Table1[[#This Row],[ROI]]&gt;100%,"Hit","Flop")</f>
        <v>Flop</v>
      </c>
    </row>
    <row r="551" spans="1:20" x14ac:dyDescent="0.3">
      <c r="A551">
        <v>580</v>
      </c>
      <c r="B551" t="s">
        <v>995</v>
      </c>
      <c r="C551" t="s">
        <v>45</v>
      </c>
      <c r="D551">
        <v>2022</v>
      </c>
      <c r="E551" s="1">
        <v>44815</v>
      </c>
      <c r="F551" t="s">
        <v>23</v>
      </c>
      <c r="G551" s="2">
        <v>1745307.2</v>
      </c>
      <c r="H551" s="2">
        <v>2712067.81</v>
      </c>
      <c r="I551" s="2">
        <v>6663301.8600000003</v>
      </c>
      <c r="J551" s="2">
        <v>705770.84</v>
      </c>
      <c r="K551" s="2">
        <v>1259304.99</v>
      </c>
      <c r="L551">
        <v>6.2</v>
      </c>
      <c r="M551">
        <v>59</v>
      </c>
      <c r="N551">
        <v>57586</v>
      </c>
      <c r="O551">
        <v>163</v>
      </c>
      <c r="P551" t="s">
        <v>362</v>
      </c>
      <c r="Q551" t="s">
        <v>996</v>
      </c>
      <c r="R551" s="2">
        <f>Table1[[#This Row],[Global_BoxOfficeUSD]]-Table1[[#This Row],[BudgetUSD]]</f>
        <v>4917994.66</v>
      </c>
      <c r="S551" s="15">
        <f>Table1[[#This Row],[Profit]]/Table1[[#This Row],[BudgetUSD]]</f>
        <v>2.8178389798655505</v>
      </c>
      <c r="T551" t="str">
        <f>IF(Table1[[#This Row],[ROI]]&gt;100%,"Hit","Flop")</f>
        <v>Hit</v>
      </c>
    </row>
    <row r="552" spans="1:20" x14ac:dyDescent="0.3">
      <c r="A552">
        <v>420</v>
      </c>
      <c r="B552" t="s">
        <v>802</v>
      </c>
      <c r="C552" t="s">
        <v>45</v>
      </c>
      <c r="D552">
        <v>2008</v>
      </c>
      <c r="E552" s="1">
        <v>39543</v>
      </c>
      <c r="F552" t="s">
        <v>23</v>
      </c>
      <c r="G552" s="2">
        <v>6628840.9199999999</v>
      </c>
      <c r="H552" s="2">
        <v>4206582.4000000004</v>
      </c>
      <c r="I552" s="2">
        <v>6628840.9199999999</v>
      </c>
      <c r="J552" s="2">
        <v>874449.52</v>
      </c>
      <c r="K552" s="2">
        <v>2377541.33</v>
      </c>
      <c r="L552">
        <v>7.3</v>
      </c>
      <c r="M552">
        <v>80</v>
      </c>
      <c r="N552">
        <v>100</v>
      </c>
      <c r="O552">
        <v>2369</v>
      </c>
      <c r="P552" t="s">
        <v>156</v>
      </c>
      <c r="Q552" t="s">
        <v>803</v>
      </c>
      <c r="R552" s="2">
        <f>Table1[[#This Row],[Global_BoxOfficeUSD]]-Table1[[#This Row],[BudgetUSD]]</f>
        <v>0</v>
      </c>
      <c r="S552" s="15">
        <f>Table1[[#This Row],[Profit]]/Table1[[#This Row],[BudgetUSD]]</f>
        <v>0</v>
      </c>
      <c r="T552" t="str">
        <f>IF(Table1[[#This Row],[ROI]]&gt;100%,"Hit","Flop")</f>
        <v>Flop</v>
      </c>
    </row>
    <row r="553" spans="1:20" x14ac:dyDescent="0.3">
      <c r="A553">
        <v>800</v>
      </c>
      <c r="B553" t="s">
        <v>1220</v>
      </c>
      <c r="C553" t="s">
        <v>38</v>
      </c>
      <c r="D553">
        <v>1987</v>
      </c>
      <c r="E553" s="1">
        <v>31941</v>
      </c>
      <c r="F553" t="s">
        <v>23</v>
      </c>
      <c r="G553" s="2">
        <v>1634593.15</v>
      </c>
      <c r="H553" s="2">
        <v>3011833.03</v>
      </c>
      <c r="I553" s="2">
        <v>6601759.0899999999</v>
      </c>
      <c r="J553" s="2">
        <v>407763.98</v>
      </c>
      <c r="K553" s="2">
        <v>1293205.79</v>
      </c>
      <c r="L553">
        <v>5.4</v>
      </c>
      <c r="M553">
        <v>60</v>
      </c>
      <c r="N553">
        <v>13809</v>
      </c>
      <c r="O553">
        <v>153</v>
      </c>
      <c r="P553" t="s">
        <v>260</v>
      </c>
      <c r="Q553" t="s">
        <v>832</v>
      </c>
      <c r="R553" s="2">
        <f>Table1[[#This Row],[Global_BoxOfficeUSD]]-Table1[[#This Row],[BudgetUSD]]</f>
        <v>4967165.9399999995</v>
      </c>
      <c r="S553" s="15">
        <f>Table1[[#This Row],[Profit]]/Table1[[#This Row],[BudgetUSD]]</f>
        <v>3.0387781448857778</v>
      </c>
      <c r="T553" t="str">
        <f>IF(Table1[[#This Row],[ROI]]&gt;100%,"Hit","Flop")</f>
        <v>Hit</v>
      </c>
    </row>
    <row r="554" spans="1:20" x14ac:dyDescent="0.3">
      <c r="A554">
        <v>645</v>
      </c>
      <c r="B554" t="s">
        <v>1065</v>
      </c>
      <c r="C554" t="s">
        <v>18</v>
      </c>
      <c r="D554">
        <v>2000</v>
      </c>
      <c r="E554" s="1">
        <v>36617</v>
      </c>
      <c r="F554" t="s">
        <v>23</v>
      </c>
      <c r="G554" s="2">
        <v>1785606.07</v>
      </c>
      <c r="H554" s="2">
        <v>3953729.2</v>
      </c>
      <c r="I554" s="2">
        <v>6583485.2800000003</v>
      </c>
      <c r="J554" s="2">
        <v>567818.32999999996</v>
      </c>
      <c r="K554" s="2">
        <v>1785467.05</v>
      </c>
      <c r="L554">
        <v>7.3</v>
      </c>
      <c r="M554">
        <v>88</v>
      </c>
      <c r="N554">
        <v>113634</v>
      </c>
      <c r="O554">
        <v>764</v>
      </c>
      <c r="P554" t="s">
        <v>126</v>
      </c>
      <c r="Q554" t="s">
        <v>950</v>
      </c>
      <c r="R554" s="2">
        <f>Table1[[#This Row],[Global_BoxOfficeUSD]]-Table1[[#This Row],[BudgetUSD]]</f>
        <v>4797879.21</v>
      </c>
      <c r="S554" s="15">
        <f>Table1[[#This Row],[Profit]]/Table1[[#This Row],[BudgetUSD]]</f>
        <v>2.686975190446121</v>
      </c>
      <c r="T554" t="str">
        <f>IF(Table1[[#This Row],[ROI]]&gt;100%,"Hit","Flop")</f>
        <v>Hit</v>
      </c>
    </row>
    <row r="555" spans="1:20" x14ac:dyDescent="0.3">
      <c r="A555">
        <v>867</v>
      </c>
      <c r="B555" t="s">
        <v>1283</v>
      </c>
      <c r="C555" t="s">
        <v>38</v>
      </c>
      <c r="D555">
        <v>1959</v>
      </c>
      <c r="E555" s="1">
        <v>21663</v>
      </c>
      <c r="F555" t="s">
        <v>23</v>
      </c>
      <c r="G555" s="2">
        <v>6574739.9199999999</v>
      </c>
      <c r="H555" s="2">
        <v>3987871.82</v>
      </c>
      <c r="I555" s="2">
        <v>6574739.9199999999</v>
      </c>
      <c r="J555" s="2">
        <v>532454.18999999994</v>
      </c>
      <c r="K555" s="2">
        <v>1597818.54</v>
      </c>
      <c r="L555">
        <v>5.0999999999999996</v>
      </c>
      <c r="M555">
        <v>36</v>
      </c>
      <c r="N555">
        <v>9748</v>
      </c>
      <c r="O555">
        <v>859</v>
      </c>
      <c r="P555" t="s">
        <v>794</v>
      </c>
      <c r="Q555" t="s">
        <v>137</v>
      </c>
      <c r="R555" s="2">
        <f>Table1[[#This Row],[Global_BoxOfficeUSD]]-Table1[[#This Row],[BudgetUSD]]</f>
        <v>0</v>
      </c>
      <c r="S555" s="15">
        <f>Table1[[#This Row],[Profit]]/Table1[[#This Row],[BudgetUSD]]</f>
        <v>0</v>
      </c>
      <c r="T555" t="str">
        <f>IF(Table1[[#This Row],[ROI]]&gt;100%,"Hit","Flop")</f>
        <v>Flop</v>
      </c>
    </row>
    <row r="556" spans="1:20" x14ac:dyDescent="0.3">
      <c r="A556">
        <v>631</v>
      </c>
      <c r="B556" t="s">
        <v>1049</v>
      </c>
      <c r="C556" t="s">
        <v>18</v>
      </c>
      <c r="D556">
        <v>1994</v>
      </c>
      <c r="E556" s="1">
        <v>34369</v>
      </c>
      <c r="F556" t="s">
        <v>23</v>
      </c>
      <c r="G556" s="2">
        <v>2283172.89</v>
      </c>
      <c r="H556" s="2">
        <v>4371585.3</v>
      </c>
      <c r="I556" s="2">
        <v>6558752.8200000003</v>
      </c>
      <c r="J556" s="2">
        <v>888892.08</v>
      </c>
      <c r="K556" s="2">
        <v>2517332.92</v>
      </c>
      <c r="L556">
        <v>4.8</v>
      </c>
      <c r="M556">
        <v>48</v>
      </c>
      <c r="N556">
        <v>24942</v>
      </c>
      <c r="O556">
        <v>1340</v>
      </c>
      <c r="P556" t="s">
        <v>219</v>
      </c>
      <c r="Q556" t="s">
        <v>609</v>
      </c>
      <c r="R556" s="2">
        <f>Table1[[#This Row],[Global_BoxOfficeUSD]]-Table1[[#This Row],[BudgetUSD]]</f>
        <v>4275579.93</v>
      </c>
      <c r="S556" s="15">
        <f>Table1[[#This Row],[Profit]]/Table1[[#This Row],[BudgetUSD]]</f>
        <v>1.8726483433324226</v>
      </c>
      <c r="T556" t="str">
        <f>IF(Table1[[#This Row],[ROI]]&gt;100%,"Hit","Flop")</f>
        <v>Hit</v>
      </c>
    </row>
    <row r="557" spans="1:20" x14ac:dyDescent="0.3">
      <c r="A557">
        <v>944</v>
      </c>
      <c r="B557" t="s">
        <v>1353</v>
      </c>
      <c r="C557" t="s">
        <v>38</v>
      </c>
      <c r="D557">
        <v>2014</v>
      </c>
      <c r="E557" s="1">
        <v>41968</v>
      </c>
      <c r="F557" t="s">
        <v>23</v>
      </c>
      <c r="G557" s="2">
        <v>1924773.37</v>
      </c>
      <c r="H557" s="2">
        <v>3210120.57</v>
      </c>
      <c r="I557" s="2">
        <v>6473447.4100000001</v>
      </c>
      <c r="J557" s="2">
        <v>865509.53</v>
      </c>
      <c r="K557" s="2">
        <v>1588513.43</v>
      </c>
      <c r="L557">
        <v>9.1</v>
      </c>
      <c r="M557">
        <v>81</v>
      </c>
      <c r="N557">
        <v>3573</v>
      </c>
      <c r="O557">
        <v>888</v>
      </c>
      <c r="P557" t="s">
        <v>416</v>
      </c>
      <c r="Q557" t="s">
        <v>1163</v>
      </c>
      <c r="R557" s="2">
        <f>Table1[[#This Row],[Global_BoxOfficeUSD]]-Table1[[#This Row],[BudgetUSD]]</f>
        <v>4548674.04</v>
      </c>
      <c r="S557" s="15">
        <f>Table1[[#This Row],[Profit]]/Table1[[#This Row],[BudgetUSD]]</f>
        <v>2.3632257755103914</v>
      </c>
      <c r="T557" t="str">
        <f>IF(Table1[[#This Row],[ROI]]&gt;100%,"Hit","Flop")</f>
        <v>Hit</v>
      </c>
    </row>
    <row r="558" spans="1:20" x14ac:dyDescent="0.3">
      <c r="A558">
        <v>358</v>
      </c>
      <c r="B558" t="s">
        <v>716</v>
      </c>
      <c r="C558" t="s">
        <v>38</v>
      </c>
      <c r="D558">
        <v>2009</v>
      </c>
      <c r="E558" s="1">
        <v>40163</v>
      </c>
      <c r="F558" t="s">
        <v>23</v>
      </c>
      <c r="G558" s="2">
        <v>1739236.73</v>
      </c>
      <c r="H558" s="2">
        <v>4058243.23</v>
      </c>
      <c r="I558" s="2">
        <v>6447030.6799999997</v>
      </c>
      <c r="J558" s="2">
        <v>1202337.23</v>
      </c>
      <c r="K558" s="2">
        <v>2430903.08</v>
      </c>
      <c r="L558">
        <v>8</v>
      </c>
      <c r="M558">
        <v>82</v>
      </c>
      <c r="N558">
        <v>4479</v>
      </c>
      <c r="O558">
        <v>2040</v>
      </c>
      <c r="P558" t="s">
        <v>380</v>
      </c>
      <c r="Q558" t="s">
        <v>482</v>
      </c>
      <c r="R558" s="2">
        <f>Table1[[#This Row],[Global_BoxOfficeUSD]]-Table1[[#This Row],[BudgetUSD]]</f>
        <v>4707793.9499999993</v>
      </c>
      <c r="S558" s="15">
        <f>Table1[[#This Row],[Profit]]/Table1[[#This Row],[BudgetUSD]]</f>
        <v>2.7068160813278128</v>
      </c>
      <c r="T558" t="str">
        <f>IF(Table1[[#This Row],[ROI]]&gt;100%,"Hit","Flop")</f>
        <v>Hit</v>
      </c>
    </row>
    <row r="559" spans="1:20" x14ac:dyDescent="0.3">
      <c r="A559">
        <v>497</v>
      </c>
      <c r="B559" t="s">
        <v>900</v>
      </c>
      <c r="C559" t="s">
        <v>18</v>
      </c>
      <c r="D559">
        <v>2023</v>
      </c>
      <c r="E559" s="1">
        <v>44980</v>
      </c>
      <c r="F559" t="s">
        <v>23</v>
      </c>
      <c r="G559" s="2">
        <v>1722015.11</v>
      </c>
      <c r="H559" s="2">
        <v>4088755.25</v>
      </c>
      <c r="I559" s="2">
        <v>6419792.0099999998</v>
      </c>
      <c r="J559" s="2">
        <v>718420.58</v>
      </c>
      <c r="K559" s="2">
        <v>2316330.5</v>
      </c>
      <c r="L559">
        <v>5.9</v>
      </c>
      <c r="M559">
        <v>69</v>
      </c>
      <c r="N559">
        <v>389</v>
      </c>
      <c r="O559">
        <v>77</v>
      </c>
      <c r="P559" t="s">
        <v>292</v>
      </c>
      <c r="Q559" t="s">
        <v>901</v>
      </c>
      <c r="R559" s="2">
        <f>Table1[[#This Row],[Global_BoxOfficeUSD]]-Table1[[#This Row],[BudgetUSD]]</f>
        <v>4697776.8999999994</v>
      </c>
      <c r="S559" s="15">
        <f>Table1[[#This Row],[Profit]]/Table1[[#This Row],[BudgetUSD]]</f>
        <v>2.7280694999244224</v>
      </c>
      <c r="T559" t="str">
        <f>IF(Table1[[#This Row],[ROI]]&gt;100%,"Hit","Flop")</f>
        <v>Hit</v>
      </c>
    </row>
    <row r="560" spans="1:20" x14ac:dyDescent="0.3">
      <c r="A560">
        <v>642</v>
      </c>
      <c r="B560" t="s">
        <v>1062</v>
      </c>
      <c r="C560" t="s">
        <v>18</v>
      </c>
      <c r="D560">
        <v>1979</v>
      </c>
      <c r="E560" s="1">
        <v>29013</v>
      </c>
      <c r="F560" t="s">
        <v>23</v>
      </c>
      <c r="G560" s="2">
        <v>1725621.59</v>
      </c>
      <c r="H560" s="2">
        <v>4282919.2</v>
      </c>
      <c r="I560" s="2">
        <v>6385888.25</v>
      </c>
      <c r="J560" s="2">
        <v>1045641.94</v>
      </c>
      <c r="K560" s="2">
        <v>2545925.29</v>
      </c>
      <c r="L560">
        <v>6.2</v>
      </c>
      <c r="M560">
        <v>68</v>
      </c>
      <c r="N560">
        <v>5407</v>
      </c>
      <c r="O560">
        <v>50</v>
      </c>
      <c r="P560" t="s">
        <v>216</v>
      </c>
      <c r="Q560" t="s">
        <v>512</v>
      </c>
      <c r="R560" s="2">
        <f>Table1[[#This Row],[Global_BoxOfficeUSD]]-Table1[[#This Row],[BudgetUSD]]</f>
        <v>4660266.66</v>
      </c>
      <c r="S560" s="15">
        <f>Table1[[#This Row],[Profit]]/Table1[[#This Row],[BudgetUSD]]</f>
        <v>2.70063071011994</v>
      </c>
      <c r="T560" t="str">
        <f>IF(Table1[[#This Row],[ROI]]&gt;100%,"Hit","Flop")</f>
        <v>Hit</v>
      </c>
    </row>
    <row r="561" spans="1:20" x14ac:dyDescent="0.3">
      <c r="A561">
        <v>269</v>
      </c>
      <c r="B561" t="s">
        <v>595</v>
      </c>
      <c r="C561" t="s">
        <v>18</v>
      </c>
      <c r="D561">
        <v>2016</v>
      </c>
      <c r="E561" s="1">
        <v>42387</v>
      </c>
      <c r="F561" t="s">
        <v>23</v>
      </c>
      <c r="G561" s="2">
        <v>2253450.41</v>
      </c>
      <c r="H561" s="2">
        <v>4241954.25</v>
      </c>
      <c r="I561" s="2">
        <v>6354082.8099999996</v>
      </c>
      <c r="J561" s="2">
        <v>691142.74</v>
      </c>
      <c r="K561" s="2">
        <v>2069750.1</v>
      </c>
      <c r="L561">
        <v>7.4</v>
      </c>
      <c r="M561">
        <v>60</v>
      </c>
      <c r="N561">
        <v>20914</v>
      </c>
      <c r="O561">
        <v>216</v>
      </c>
      <c r="P561" t="s">
        <v>596</v>
      </c>
      <c r="Q561" t="s">
        <v>137</v>
      </c>
      <c r="R561" s="2">
        <f>Table1[[#This Row],[Global_BoxOfficeUSD]]-Table1[[#This Row],[BudgetUSD]]</f>
        <v>4100632.3999999994</v>
      </c>
      <c r="S561" s="15">
        <f>Table1[[#This Row],[Profit]]/Table1[[#This Row],[BudgetUSD]]</f>
        <v>1.8197127311090902</v>
      </c>
      <c r="T561" t="str">
        <f>IF(Table1[[#This Row],[ROI]]&gt;100%,"Hit","Flop")</f>
        <v>Hit</v>
      </c>
    </row>
    <row r="562" spans="1:20" x14ac:dyDescent="0.3">
      <c r="A562">
        <v>980</v>
      </c>
      <c r="B562" t="s">
        <v>1391</v>
      </c>
      <c r="C562" t="s">
        <v>45</v>
      </c>
      <c r="D562">
        <v>1998</v>
      </c>
      <c r="E562" s="1">
        <v>35919</v>
      </c>
      <c r="F562" t="s">
        <v>139</v>
      </c>
      <c r="G562" s="2">
        <v>1772558.72</v>
      </c>
      <c r="H562" s="2">
        <v>3841050.53</v>
      </c>
      <c r="I562" s="2">
        <v>6346051</v>
      </c>
      <c r="J562" s="2">
        <v>1027115.19</v>
      </c>
      <c r="K562" s="2">
        <v>2249374.7599999998</v>
      </c>
      <c r="L562">
        <v>5.5</v>
      </c>
      <c r="M562">
        <v>49</v>
      </c>
      <c r="N562">
        <v>1877</v>
      </c>
      <c r="O562">
        <v>50</v>
      </c>
      <c r="P562" t="s">
        <v>319</v>
      </c>
      <c r="Q562" t="s">
        <v>627</v>
      </c>
      <c r="R562" s="2">
        <f>Table1[[#This Row],[Global_BoxOfficeUSD]]-Table1[[#This Row],[BudgetUSD]]</f>
        <v>4573492.28</v>
      </c>
      <c r="S562" s="15">
        <f>Table1[[#This Row],[Profit]]/Table1[[#This Row],[BudgetUSD]]</f>
        <v>2.5801640466951641</v>
      </c>
      <c r="T562" t="str">
        <f>IF(Table1[[#This Row],[ROI]]&gt;100%,"Hit","Flop")</f>
        <v>Hit</v>
      </c>
    </row>
    <row r="563" spans="1:20" x14ac:dyDescent="0.3">
      <c r="A563">
        <v>572</v>
      </c>
      <c r="B563" t="s">
        <v>985</v>
      </c>
      <c r="C563" t="s">
        <v>77</v>
      </c>
      <c r="D563">
        <v>1998</v>
      </c>
      <c r="E563" s="1">
        <v>35956</v>
      </c>
      <c r="F563" t="s">
        <v>23</v>
      </c>
      <c r="G563" s="2">
        <v>3247419.84</v>
      </c>
      <c r="H563" s="2">
        <v>2919371.03</v>
      </c>
      <c r="I563" s="2">
        <v>6339373.3600000003</v>
      </c>
      <c r="J563" s="2">
        <v>720010.26</v>
      </c>
      <c r="K563" s="2">
        <v>1501524.79</v>
      </c>
      <c r="L563">
        <v>3.5</v>
      </c>
      <c r="M563">
        <v>35</v>
      </c>
      <c r="N563">
        <v>6367</v>
      </c>
      <c r="O563">
        <v>149</v>
      </c>
      <c r="P563" t="s">
        <v>268</v>
      </c>
      <c r="Q563" t="s">
        <v>843</v>
      </c>
      <c r="R563" s="2">
        <f>Table1[[#This Row],[Global_BoxOfficeUSD]]-Table1[[#This Row],[BudgetUSD]]</f>
        <v>3091953.5200000005</v>
      </c>
      <c r="S563" s="15">
        <f>Table1[[#This Row],[Profit]]/Table1[[#This Row],[BudgetUSD]]</f>
        <v>0.9521262024438456</v>
      </c>
      <c r="T563" t="str">
        <f>IF(Table1[[#This Row],[ROI]]&gt;100%,"Hit","Flop")</f>
        <v>Flop</v>
      </c>
    </row>
    <row r="564" spans="1:20" x14ac:dyDescent="0.3">
      <c r="A564">
        <v>757</v>
      </c>
      <c r="B564" t="s">
        <v>1178</v>
      </c>
      <c r="C564" t="s">
        <v>67</v>
      </c>
      <c r="D564">
        <v>2021</v>
      </c>
      <c r="E564" s="1">
        <v>44373</v>
      </c>
      <c r="F564" t="s">
        <v>23</v>
      </c>
      <c r="G564" s="2">
        <v>1417231.73</v>
      </c>
      <c r="H564" s="2">
        <v>3470044.16</v>
      </c>
      <c r="I564" s="2">
        <v>6321713.5999999996</v>
      </c>
      <c r="J564" s="2">
        <v>670305.24</v>
      </c>
      <c r="K564" s="2">
        <v>1438195.34</v>
      </c>
      <c r="L564">
        <v>6.1</v>
      </c>
      <c r="M564">
        <v>58</v>
      </c>
      <c r="N564">
        <v>4119</v>
      </c>
      <c r="O564">
        <v>262</v>
      </c>
      <c r="P564" t="s">
        <v>167</v>
      </c>
      <c r="Q564" t="s">
        <v>154</v>
      </c>
      <c r="R564" s="2">
        <f>Table1[[#This Row],[Global_BoxOfficeUSD]]-Table1[[#This Row],[BudgetUSD]]</f>
        <v>4904481.8699999992</v>
      </c>
      <c r="S564" s="15">
        <f>Table1[[#This Row],[Profit]]/Table1[[#This Row],[BudgetUSD]]</f>
        <v>3.460606876195186</v>
      </c>
      <c r="T564" t="str">
        <f>IF(Table1[[#This Row],[ROI]]&gt;100%,"Hit","Flop")</f>
        <v>Hit</v>
      </c>
    </row>
    <row r="565" spans="1:20" x14ac:dyDescent="0.3">
      <c r="A565">
        <v>239</v>
      </c>
      <c r="B565" t="s">
        <v>553</v>
      </c>
      <c r="C565" t="s">
        <v>77</v>
      </c>
      <c r="D565">
        <v>1992</v>
      </c>
      <c r="E565" s="1">
        <v>33646</v>
      </c>
      <c r="F565" t="s">
        <v>19</v>
      </c>
      <c r="G565" s="2">
        <v>2071842.7</v>
      </c>
      <c r="H565" s="2">
        <v>3900897.48</v>
      </c>
      <c r="I565" s="2">
        <v>6312050.1900000004</v>
      </c>
      <c r="J565" s="2">
        <v>1100403.68</v>
      </c>
      <c r="K565" s="2">
        <v>2192284.85</v>
      </c>
      <c r="L565">
        <v>4.9000000000000004</v>
      </c>
      <c r="M565">
        <v>52</v>
      </c>
      <c r="N565">
        <v>5267</v>
      </c>
      <c r="O565">
        <v>1399</v>
      </c>
      <c r="P565" t="s">
        <v>472</v>
      </c>
      <c r="Q565" t="s">
        <v>357</v>
      </c>
      <c r="R565" s="2">
        <f>Table1[[#This Row],[Global_BoxOfficeUSD]]-Table1[[#This Row],[BudgetUSD]]</f>
        <v>4240207.49</v>
      </c>
      <c r="S565" s="15">
        <f>Table1[[#This Row],[Profit]]/Table1[[#This Row],[BudgetUSD]]</f>
        <v>2.0465875570573</v>
      </c>
      <c r="T565" t="str">
        <f>IF(Table1[[#This Row],[ROI]]&gt;100%,"Hit","Flop")</f>
        <v>Hit</v>
      </c>
    </row>
    <row r="566" spans="1:20" x14ac:dyDescent="0.3">
      <c r="A566">
        <v>226</v>
      </c>
      <c r="B566" t="s">
        <v>534</v>
      </c>
      <c r="C566" t="s">
        <v>38</v>
      </c>
      <c r="D566">
        <v>2018</v>
      </c>
      <c r="E566" s="1">
        <v>43109</v>
      </c>
      <c r="F566" t="s">
        <v>34</v>
      </c>
      <c r="G566" s="2">
        <v>1460125.44</v>
      </c>
      <c r="H566" s="2">
        <v>3605582.02</v>
      </c>
      <c r="I566" s="2">
        <v>6303988.29</v>
      </c>
      <c r="J566" s="2">
        <v>492700.32</v>
      </c>
      <c r="K566" s="2">
        <v>1639555.4</v>
      </c>
      <c r="L566">
        <v>5.7</v>
      </c>
      <c r="M566">
        <v>48</v>
      </c>
      <c r="N566">
        <v>15808</v>
      </c>
      <c r="O566">
        <v>71</v>
      </c>
      <c r="P566" t="s">
        <v>140</v>
      </c>
      <c r="Q566" t="s">
        <v>535</v>
      </c>
      <c r="R566" s="2">
        <f>Table1[[#This Row],[Global_BoxOfficeUSD]]-Table1[[#This Row],[BudgetUSD]]</f>
        <v>4843862.8499999996</v>
      </c>
      <c r="S566" s="15">
        <f>Table1[[#This Row],[Profit]]/Table1[[#This Row],[BudgetUSD]]</f>
        <v>3.3174292545714428</v>
      </c>
      <c r="T566" t="str">
        <f>IF(Table1[[#This Row],[ROI]]&gt;100%,"Hit","Flop")</f>
        <v>Hit</v>
      </c>
    </row>
    <row r="567" spans="1:20" x14ac:dyDescent="0.3">
      <c r="A567">
        <v>539</v>
      </c>
      <c r="B567" t="s">
        <v>948</v>
      </c>
      <c r="C567" t="s">
        <v>77</v>
      </c>
      <c r="D567">
        <v>2009</v>
      </c>
      <c r="E567" s="1">
        <v>40110</v>
      </c>
      <c r="F567" t="s">
        <v>139</v>
      </c>
      <c r="G567" s="2">
        <v>1505416.19</v>
      </c>
      <c r="H567" s="2">
        <v>2698410.05</v>
      </c>
      <c r="I567" s="2">
        <v>6279374.6900000004</v>
      </c>
      <c r="J567" s="2">
        <v>680702.57</v>
      </c>
      <c r="K567" s="2">
        <v>1572404.89</v>
      </c>
      <c r="L567">
        <v>6.3</v>
      </c>
      <c r="M567">
        <v>55</v>
      </c>
      <c r="N567">
        <v>443</v>
      </c>
      <c r="O567">
        <v>628</v>
      </c>
      <c r="P567" t="s">
        <v>436</v>
      </c>
      <c r="Q567" t="s">
        <v>175</v>
      </c>
      <c r="R567" s="2">
        <f>Table1[[#This Row],[Global_BoxOfficeUSD]]-Table1[[#This Row],[BudgetUSD]]</f>
        <v>4773958.5</v>
      </c>
      <c r="S567" s="15">
        <f>Table1[[#This Row],[Profit]]/Table1[[#This Row],[BudgetUSD]]</f>
        <v>3.1711884937281032</v>
      </c>
      <c r="T567" t="str">
        <f>IF(Table1[[#This Row],[ROI]]&gt;100%,"Hit","Flop")</f>
        <v>Hit</v>
      </c>
    </row>
    <row r="568" spans="1:20" x14ac:dyDescent="0.3">
      <c r="A568">
        <v>698</v>
      </c>
      <c r="B568" t="s">
        <v>1117</v>
      </c>
      <c r="C568" t="s">
        <v>77</v>
      </c>
      <c r="D568">
        <v>1988</v>
      </c>
      <c r="E568" s="1">
        <v>32395</v>
      </c>
      <c r="F568" t="s">
        <v>132</v>
      </c>
      <c r="G568" s="2">
        <v>1413093.72</v>
      </c>
      <c r="H568" s="2">
        <v>3644437.72</v>
      </c>
      <c r="I568" s="2">
        <v>6226523.4500000002</v>
      </c>
      <c r="J568" s="2">
        <v>681873.22</v>
      </c>
      <c r="K568" s="2">
        <v>2151511.4700000002</v>
      </c>
      <c r="L568">
        <v>5.9</v>
      </c>
      <c r="M568">
        <v>55</v>
      </c>
      <c r="N568">
        <v>626</v>
      </c>
      <c r="O568">
        <v>101</v>
      </c>
      <c r="P568" t="s">
        <v>782</v>
      </c>
      <c r="Q568" t="s">
        <v>278</v>
      </c>
      <c r="R568" s="2">
        <f>Table1[[#This Row],[Global_BoxOfficeUSD]]-Table1[[#This Row],[BudgetUSD]]</f>
        <v>4813429.7300000004</v>
      </c>
      <c r="S568" s="15">
        <f>Table1[[#This Row],[Profit]]/Table1[[#This Row],[BudgetUSD]]</f>
        <v>3.4063060799675768</v>
      </c>
      <c r="T568" t="str">
        <f>IF(Table1[[#This Row],[ROI]]&gt;100%,"Hit","Flop")</f>
        <v>Hit</v>
      </c>
    </row>
    <row r="569" spans="1:20" x14ac:dyDescent="0.3">
      <c r="A569">
        <v>418</v>
      </c>
      <c r="B569" t="s">
        <v>800</v>
      </c>
      <c r="C569" t="s">
        <v>38</v>
      </c>
      <c r="D569">
        <v>2011</v>
      </c>
      <c r="E569" s="1">
        <v>40836</v>
      </c>
      <c r="F569" t="s">
        <v>23</v>
      </c>
      <c r="G569" s="2">
        <v>2177577.14</v>
      </c>
      <c r="H569" s="2">
        <v>2618587.84</v>
      </c>
      <c r="I569" s="2">
        <v>6218711.5599999996</v>
      </c>
      <c r="J569" s="2">
        <v>443035.9</v>
      </c>
      <c r="K569" s="2">
        <v>1269192.05</v>
      </c>
      <c r="L569">
        <v>6</v>
      </c>
      <c r="M569">
        <v>55</v>
      </c>
      <c r="N569">
        <v>33200</v>
      </c>
      <c r="O569">
        <v>68</v>
      </c>
      <c r="P569" t="s">
        <v>479</v>
      </c>
      <c r="Q569" t="s">
        <v>121</v>
      </c>
      <c r="R569" s="2">
        <f>Table1[[#This Row],[Global_BoxOfficeUSD]]-Table1[[#This Row],[BudgetUSD]]</f>
        <v>4041134.4199999995</v>
      </c>
      <c r="S569" s="15">
        <f>Table1[[#This Row],[Profit]]/Table1[[#This Row],[BudgetUSD]]</f>
        <v>1.8557939214957038</v>
      </c>
      <c r="T569" t="str">
        <f>IF(Table1[[#This Row],[ROI]]&gt;100%,"Hit","Flop")</f>
        <v>Hit</v>
      </c>
    </row>
    <row r="570" spans="1:20" x14ac:dyDescent="0.3">
      <c r="A570">
        <v>700</v>
      </c>
      <c r="B570" t="s">
        <v>1119</v>
      </c>
      <c r="C570" t="s">
        <v>67</v>
      </c>
      <c r="D570">
        <v>2022</v>
      </c>
      <c r="E570" s="1">
        <v>44769</v>
      </c>
      <c r="F570" t="s">
        <v>139</v>
      </c>
      <c r="G570" s="2">
        <v>5247430.46</v>
      </c>
      <c r="H570" s="2">
        <v>2775328.02</v>
      </c>
      <c r="I570" s="2">
        <v>6212077.2199999997</v>
      </c>
      <c r="J570" s="2">
        <v>590716.94999999995</v>
      </c>
      <c r="K570" s="2">
        <v>1319582.01</v>
      </c>
      <c r="L570">
        <v>7.2</v>
      </c>
      <c r="M570">
        <v>65</v>
      </c>
      <c r="N570">
        <v>3900</v>
      </c>
      <c r="O570">
        <v>68</v>
      </c>
      <c r="P570" t="s">
        <v>479</v>
      </c>
      <c r="Q570" t="s">
        <v>253</v>
      </c>
      <c r="R570" s="2">
        <f>Table1[[#This Row],[Global_BoxOfficeUSD]]-Table1[[#This Row],[BudgetUSD]]</f>
        <v>964646.75999999978</v>
      </c>
      <c r="S570" s="15">
        <f>Table1[[#This Row],[Profit]]/Table1[[#This Row],[BudgetUSD]]</f>
        <v>0.18383221413857476</v>
      </c>
      <c r="T570" t="str">
        <f>IF(Table1[[#This Row],[ROI]]&gt;100%,"Hit","Flop")</f>
        <v>Flop</v>
      </c>
    </row>
    <row r="571" spans="1:20" x14ac:dyDescent="0.3">
      <c r="A571">
        <v>574</v>
      </c>
      <c r="B571" t="s">
        <v>988</v>
      </c>
      <c r="C571" t="s">
        <v>77</v>
      </c>
      <c r="D571">
        <v>2016</v>
      </c>
      <c r="E571" s="1">
        <v>42532</v>
      </c>
      <c r="F571" t="s">
        <v>23</v>
      </c>
      <c r="G571" s="2">
        <v>1329744.06</v>
      </c>
      <c r="H571" s="2">
        <v>2585272</v>
      </c>
      <c r="I571" s="2">
        <v>6205364.5099999998</v>
      </c>
      <c r="J571" s="2">
        <v>260573.96</v>
      </c>
      <c r="K571" s="2">
        <v>1365003.34</v>
      </c>
      <c r="L571">
        <v>6.5</v>
      </c>
      <c r="M571">
        <v>77</v>
      </c>
      <c r="N571">
        <v>11761</v>
      </c>
      <c r="O571">
        <v>1956</v>
      </c>
      <c r="P571" t="s">
        <v>219</v>
      </c>
      <c r="Q571" t="s">
        <v>792</v>
      </c>
      <c r="R571" s="2">
        <f>Table1[[#This Row],[Global_BoxOfficeUSD]]-Table1[[#This Row],[BudgetUSD]]</f>
        <v>4875620.4499999993</v>
      </c>
      <c r="S571" s="15">
        <f>Table1[[#This Row],[Profit]]/Table1[[#This Row],[BudgetUSD]]</f>
        <v>3.6665856209953658</v>
      </c>
      <c r="T571" t="str">
        <f>IF(Table1[[#This Row],[ROI]]&gt;100%,"Hit","Flop")</f>
        <v>Hit</v>
      </c>
    </row>
    <row r="572" spans="1:20" x14ac:dyDescent="0.3">
      <c r="A572">
        <v>841</v>
      </c>
      <c r="B572" t="s">
        <v>1259</v>
      </c>
      <c r="C572" t="s">
        <v>38</v>
      </c>
      <c r="D572">
        <v>2002</v>
      </c>
      <c r="E572" s="1">
        <v>37357</v>
      </c>
      <c r="F572" t="s">
        <v>23</v>
      </c>
      <c r="G572" s="2">
        <v>3726113.45</v>
      </c>
      <c r="H572" s="2">
        <v>3827086.46</v>
      </c>
      <c r="I572" s="2">
        <v>6171509.8099999996</v>
      </c>
      <c r="J572" s="2">
        <v>1074060.24</v>
      </c>
      <c r="K572" s="2">
        <v>2018073.32</v>
      </c>
      <c r="L572">
        <v>3.3</v>
      </c>
      <c r="M572">
        <v>25</v>
      </c>
      <c r="N572">
        <v>985</v>
      </c>
      <c r="O572">
        <v>244</v>
      </c>
      <c r="P572" t="s">
        <v>799</v>
      </c>
      <c r="Q572" t="s">
        <v>124</v>
      </c>
      <c r="R572" s="2">
        <f>Table1[[#This Row],[Global_BoxOfficeUSD]]-Table1[[#This Row],[BudgetUSD]]</f>
        <v>2445396.3599999994</v>
      </c>
      <c r="S572" s="15">
        <f>Table1[[#This Row],[Profit]]/Table1[[#This Row],[BudgetUSD]]</f>
        <v>0.65628607201962663</v>
      </c>
      <c r="T572" t="str">
        <f>IF(Table1[[#This Row],[ROI]]&gt;100%,"Hit","Flop")</f>
        <v>Flop</v>
      </c>
    </row>
    <row r="573" spans="1:20" x14ac:dyDescent="0.3">
      <c r="A573">
        <v>941</v>
      </c>
      <c r="B573" t="s">
        <v>1348</v>
      </c>
      <c r="C573" t="s">
        <v>45</v>
      </c>
      <c r="D573">
        <v>1956</v>
      </c>
      <c r="E573" s="1">
        <v>20523</v>
      </c>
      <c r="F573" t="s">
        <v>23</v>
      </c>
      <c r="G573" s="2">
        <v>5368223</v>
      </c>
      <c r="H573" s="2">
        <v>3655131.9</v>
      </c>
      <c r="I573" s="2">
        <v>6122367.5899999999</v>
      </c>
      <c r="J573" s="2">
        <v>514552.63</v>
      </c>
      <c r="K573" s="2">
        <v>1502145.74</v>
      </c>
      <c r="L573">
        <v>5.2</v>
      </c>
      <c r="M573">
        <v>59</v>
      </c>
      <c r="N573">
        <v>5224</v>
      </c>
      <c r="O573">
        <v>180</v>
      </c>
      <c r="P573" t="s">
        <v>380</v>
      </c>
      <c r="Q573" t="s">
        <v>1349</v>
      </c>
      <c r="R573" s="2">
        <f>Table1[[#This Row],[Global_BoxOfficeUSD]]-Table1[[#This Row],[BudgetUSD]]</f>
        <v>754144.58999999985</v>
      </c>
      <c r="S573" s="15">
        <f>Table1[[#This Row],[Profit]]/Table1[[#This Row],[BudgetUSD]]</f>
        <v>0.14048309654796379</v>
      </c>
      <c r="T573" t="str">
        <f>IF(Table1[[#This Row],[ROI]]&gt;100%,"Hit","Flop")</f>
        <v>Flop</v>
      </c>
    </row>
    <row r="574" spans="1:20" x14ac:dyDescent="0.3">
      <c r="A574">
        <v>593</v>
      </c>
      <c r="B574" t="s">
        <v>1009</v>
      </c>
      <c r="C574" t="s">
        <v>38</v>
      </c>
      <c r="D574">
        <v>1990</v>
      </c>
      <c r="E574" s="1">
        <v>32984</v>
      </c>
      <c r="F574" t="s">
        <v>249</v>
      </c>
      <c r="G574" s="2">
        <v>4134102.48</v>
      </c>
      <c r="H574" s="2">
        <v>4160023.62</v>
      </c>
      <c r="I574" s="2">
        <v>6116478.46</v>
      </c>
      <c r="J574" s="2">
        <v>1178080.33</v>
      </c>
      <c r="K574" s="2">
        <v>1732271.13</v>
      </c>
      <c r="L574">
        <v>8.8000000000000007</v>
      </c>
      <c r="M574">
        <v>90</v>
      </c>
      <c r="N574">
        <v>728</v>
      </c>
      <c r="O574">
        <v>79</v>
      </c>
      <c r="P574" t="s">
        <v>87</v>
      </c>
      <c r="Q574" t="s">
        <v>512</v>
      </c>
      <c r="R574" s="2">
        <f>Table1[[#This Row],[Global_BoxOfficeUSD]]-Table1[[#This Row],[BudgetUSD]]</f>
        <v>1982375.98</v>
      </c>
      <c r="S574" s="15">
        <f>Table1[[#This Row],[Profit]]/Table1[[#This Row],[BudgetUSD]]</f>
        <v>0.47951786139563718</v>
      </c>
      <c r="T574" t="str">
        <f>IF(Table1[[#This Row],[ROI]]&gt;100%,"Hit","Flop")</f>
        <v>Flop</v>
      </c>
    </row>
    <row r="575" spans="1:20" x14ac:dyDescent="0.3">
      <c r="A575">
        <v>801</v>
      </c>
      <c r="B575" t="s">
        <v>1221</v>
      </c>
      <c r="C575" t="s">
        <v>77</v>
      </c>
      <c r="D575">
        <v>1996</v>
      </c>
      <c r="E575" s="1">
        <v>35308</v>
      </c>
      <c r="F575" t="s">
        <v>23</v>
      </c>
      <c r="G575" s="2">
        <v>2020483.8</v>
      </c>
      <c r="H575" s="2">
        <v>2748268.89</v>
      </c>
      <c r="I575" s="2">
        <v>6104755.2699999996</v>
      </c>
      <c r="J575" s="2">
        <v>443090.04</v>
      </c>
      <c r="K575" s="2">
        <v>1373277.14</v>
      </c>
      <c r="L575">
        <v>7.9</v>
      </c>
      <c r="M575">
        <v>58</v>
      </c>
      <c r="N575">
        <v>578</v>
      </c>
      <c r="O575">
        <v>6185</v>
      </c>
      <c r="P575" t="s">
        <v>393</v>
      </c>
      <c r="Q575" t="s">
        <v>785</v>
      </c>
      <c r="R575" s="2">
        <f>Table1[[#This Row],[Global_BoxOfficeUSD]]-Table1[[#This Row],[BudgetUSD]]</f>
        <v>4084271.4699999997</v>
      </c>
      <c r="S575" s="15">
        <f>Table1[[#This Row],[Profit]]/Table1[[#This Row],[BudgetUSD]]</f>
        <v>2.0214324262337562</v>
      </c>
      <c r="T575" t="str">
        <f>IF(Table1[[#This Row],[ROI]]&gt;100%,"Hit","Flop")</f>
        <v>Hit</v>
      </c>
    </row>
    <row r="576" spans="1:20" x14ac:dyDescent="0.3">
      <c r="A576">
        <v>320</v>
      </c>
      <c r="B576" t="s">
        <v>667</v>
      </c>
      <c r="C576" t="s">
        <v>86</v>
      </c>
      <c r="D576">
        <v>1970</v>
      </c>
      <c r="E576" s="1">
        <v>25722</v>
      </c>
      <c r="F576" t="s">
        <v>23</v>
      </c>
      <c r="G576" s="2">
        <v>6087017.0300000003</v>
      </c>
      <c r="H576" s="2">
        <v>3611777.74</v>
      </c>
      <c r="I576" s="2">
        <v>6087017.0300000003</v>
      </c>
      <c r="J576" s="2">
        <v>1047314.4</v>
      </c>
      <c r="K576" s="2">
        <v>1903568.78</v>
      </c>
      <c r="L576">
        <v>7.4</v>
      </c>
      <c r="M576">
        <v>75</v>
      </c>
      <c r="N576">
        <v>18101</v>
      </c>
      <c r="O576">
        <v>451</v>
      </c>
      <c r="P576" t="s">
        <v>114</v>
      </c>
      <c r="Q576" t="s">
        <v>397</v>
      </c>
      <c r="R576" s="2">
        <f>Table1[[#This Row],[Global_BoxOfficeUSD]]-Table1[[#This Row],[BudgetUSD]]</f>
        <v>0</v>
      </c>
      <c r="S576" s="15">
        <f>Table1[[#This Row],[Profit]]/Table1[[#This Row],[BudgetUSD]]</f>
        <v>0</v>
      </c>
      <c r="T576" t="str">
        <f>IF(Table1[[#This Row],[ROI]]&gt;100%,"Hit","Flop")</f>
        <v>Flop</v>
      </c>
    </row>
    <row r="577" spans="1:20" x14ac:dyDescent="0.3">
      <c r="A577">
        <v>231</v>
      </c>
      <c r="B577" t="s">
        <v>542</v>
      </c>
      <c r="C577" t="s">
        <v>77</v>
      </c>
      <c r="D577">
        <v>2014</v>
      </c>
      <c r="E577" s="1">
        <v>41778</v>
      </c>
      <c r="F577" t="s">
        <v>23</v>
      </c>
      <c r="G577" s="2">
        <v>2521816.0099999998</v>
      </c>
      <c r="H577" s="2">
        <v>2490725.7400000002</v>
      </c>
      <c r="I577" s="2">
        <v>6083374.5800000001</v>
      </c>
      <c r="J577" s="2">
        <v>383910.17</v>
      </c>
      <c r="K577" s="2">
        <v>1090931.82</v>
      </c>
      <c r="L577">
        <v>5.8</v>
      </c>
      <c r="M577">
        <v>61</v>
      </c>
      <c r="N577">
        <v>134</v>
      </c>
      <c r="O577">
        <v>74</v>
      </c>
      <c r="P577" t="s">
        <v>472</v>
      </c>
      <c r="Q577" t="s">
        <v>543</v>
      </c>
      <c r="R577" s="2">
        <f>Table1[[#This Row],[Global_BoxOfficeUSD]]-Table1[[#This Row],[BudgetUSD]]</f>
        <v>3561558.5700000003</v>
      </c>
      <c r="S577" s="15">
        <f>Table1[[#This Row],[Profit]]/Table1[[#This Row],[BudgetUSD]]</f>
        <v>1.41229913517759</v>
      </c>
      <c r="T577" t="str">
        <f>IF(Table1[[#This Row],[ROI]]&gt;100%,"Hit","Flop")</f>
        <v>Hit</v>
      </c>
    </row>
    <row r="578" spans="1:20" x14ac:dyDescent="0.3">
      <c r="A578">
        <v>30</v>
      </c>
      <c r="B578" t="s">
        <v>110</v>
      </c>
      <c r="C578" t="s">
        <v>38</v>
      </c>
      <c r="D578">
        <v>2020</v>
      </c>
      <c r="E578" s="1">
        <v>43995</v>
      </c>
      <c r="F578" t="s">
        <v>23</v>
      </c>
      <c r="G578" s="2">
        <v>1238210.99</v>
      </c>
      <c r="H578" s="2">
        <v>4122230.93</v>
      </c>
      <c r="I578" s="2">
        <v>6059554.1699999999</v>
      </c>
      <c r="J578" s="2">
        <v>1183716.03</v>
      </c>
      <c r="K578" s="2">
        <v>1858052.62</v>
      </c>
      <c r="L578">
        <v>8.6</v>
      </c>
      <c r="M578">
        <v>85</v>
      </c>
      <c r="N578">
        <v>7629</v>
      </c>
      <c r="O578">
        <v>404</v>
      </c>
      <c r="P578" t="s">
        <v>111</v>
      </c>
      <c r="Q578" t="s">
        <v>112</v>
      </c>
      <c r="R578" s="2">
        <f>Table1[[#This Row],[Global_BoxOfficeUSD]]-Table1[[#This Row],[BudgetUSD]]</f>
        <v>4821343.18</v>
      </c>
      <c r="S578" s="15">
        <f>Table1[[#This Row],[Profit]]/Table1[[#This Row],[BudgetUSD]]</f>
        <v>3.8937977605900587</v>
      </c>
      <c r="T578" t="str">
        <f>IF(Table1[[#This Row],[ROI]]&gt;100%,"Hit","Flop")</f>
        <v>Hit</v>
      </c>
    </row>
    <row r="579" spans="1:20" x14ac:dyDescent="0.3">
      <c r="A579">
        <v>8</v>
      </c>
      <c r="B579" t="s">
        <v>44</v>
      </c>
      <c r="C579" t="s">
        <v>45</v>
      </c>
      <c r="D579">
        <v>1990</v>
      </c>
      <c r="E579" s="1">
        <v>33089</v>
      </c>
      <c r="F579" t="s">
        <v>23</v>
      </c>
      <c r="G579" s="2">
        <v>5249748.92</v>
      </c>
      <c r="H579" s="2">
        <v>3569563.24</v>
      </c>
      <c r="I579" s="2">
        <v>6059156.8499999996</v>
      </c>
      <c r="J579" s="2">
        <v>429972.59</v>
      </c>
      <c r="K579" s="2">
        <v>1513066.66</v>
      </c>
      <c r="L579">
        <v>7.3</v>
      </c>
      <c r="M579">
        <v>75</v>
      </c>
      <c r="N579">
        <v>283</v>
      </c>
      <c r="O579">
        <v>1219</v>
      </c>
      <c r="P579" t="s">
        <v>46</v>
      </c>
      <c r="Q579" t="s">
        <v>47</v>
      </c>
      <c r="R579" s="2">
        <f>Table1[[#This Row],[Global_BoxOfficeUSD]]-Table1[[#This Row],[BudgetUSD]]</f>
        <v>809407.9299999997</v>
      </c>
      <c r="S579" s="15">
        <f>Table1[[#This Row],[Profit]]/Table1[[#This Row],[BudgetUSD]]</f>
        <v>0.15418031268436352</v>
      </c>
      <c r="T579" t="str">
        <f>IF(Table1[[#This Row],[ROI]]&gt;100%,"Hit","Flop")</f>
        <v>Flop</v>
      </c>
    </row>
    <row r="580" spans="1:20" x14ac:dyDescent="0.3">
      <c r="A580">
        <v>615</v>
      </c>
      <c r="B580" t="s">
        <v>1034</v>
      </c>
      <c r="C580" t="s">
        <v>67</v>
      </c>
      <c r="D580">
        <v>2003</v>
      </c>
      <c r="E580" s="1">
        <v>37790</v>
      </c>
      <c r="F580" t="s">
        <v>23</v>
      </c>
      <c r="G580" s="2">
        <v>1235021.17</v>
      </c>
      <c r="H580" s="2">
        <v>3932058.14</v>
      </c>
      <c r="I580" s="2">
        <v>6057542.2699999996</v>
      </c>
      <c r="J580" s="2">
        <v>447273.33</v>
      </c>
      <c r="K580" s="2">
        <v>1754272.09</v>
      </c>
      <c r="L580">
        <v>5.9</v>
      </c>
      <c r="M580">
        <v>50</v>
      </c>
      <c r="N580">
        <v>3969</v>
      </c>
      <c r="O580">
        <v>1431</v>
      </c>
      <c r="P580" t="s">
        <v>386</v>
      </c>
      <c r="Q580" t="s">
        <v>375</v>
      </c>
      <c r="R580" s="2">
        <f>Table1[[#This Row],[Global_BoxOfficeUSD]]-Table1[[#This Row],[BudgetUSD]]</f>
        <v>4822521.0999999996</v>
      </c>
      <c r="S580" s="15">
        <f>Table1[[#This Row],[Profit]]/Table1[[#This Row],[BudgetUSD]]</f>
        <v>3.904808449558804</v>
      </c>
      <c r="T580" t="str">
        <f>IF(Table1[[#This Row],[ROI]]&gt;100%,"Hit","Flop")</f>
        <v>Hit</v>
      </c>
    </row>
    <row r="581" spans="1:20" x14ac:dyDescent="0.3">
      <c r="A581">
        <v>68</v>
      </c>
      <c r="B581" t="s">
        <v>214</v>
      </c>
      <c r="C581" t="s">
        <v>45</v>
      </c>
      <c r="D581">
        <v>1965</v>
      </c>
      <c r="E581" s="1">
        <v>24053</v>
      </c>
      <c r="F581" t="s">
        <v>23</v>
      </c>
      <c r="G581" s="2">
        <v>6020014.9800000004</v>
      </c>
      <c r="H581" s="2">
        <v>3659600.97</v>
      </c>
      <c r="I581" s="2">
        <v>6020014.9800000004</v>
      </c>
      <c r="J581" s="2">
        <v>465908.55</v>
      </c>
      <c r="K581" s="2">
        <v>2184451.52</v>
      </c>
      <c r="L581">
        <v>4.3</v>
      </c>
      <c r="M581">
        <v>47</v>
      </c>
      <c r="N581">
        <v>2379</v>
      </c>
      <c r="O581">
        <v>6081</v>
      </c>
      <c r="P581" t="s">
        <v>177</v>
      </c>
      <c r="Q581" t="s">
        <v>203</v>
      </c>
      <c r="R581" s="2">
        <f>Table1[[#This Row],[Global_BoxOfficeUSD]]-Table1[[#This Row],[BudgetUSD]]</f>
        <v>0</v>
      </c>
      <c r="S581" s="15">
        <f>Table1[[#This Row],[Profit]]/Table1[[#This Row],[BudgetUSD]]</f>
        <v>0</v>
      </c>
      <c r="T581" t="str">
        <f>IF(Table1[[#This Row],[ROI]]&gt;100%,"Hit","Flop")</f>
        <v>Flop</v>
      </c>
    </row>
    <row r="582" spans="1:20" x14ac:dyDescent="0.3">
      <c r="A582">
        <v>87</v>
      </c>
      <c r="B582" t="s">
        <v>257</v>
      </c>
      <c r="C582" t="s">
        <v>45</v>
      </c>
      <c r="D582">
        <v>2001</v>
      </c>
      <c r="E582" s="1">
        <v>36912</v>
      </c>
      <c r="F582" t="s">
        <v>23</v>
      </c>
      <c r="G582" s="2">
        <v>6014508.3799999999</v>
      </c>
      <c r="H582" s="2">
        <v>2908491.36</v>
      </c>
      <c r="I582" s="2">
        <v>6014508.3799999999</v>
      </c>
      <c r="J582" s="2">
        <v>792860.49</v>
      </c>
      <c r="K582" s="2">
        <v>1535755.96</v>
      </c>
      <c r="L582">
        <v>5.2</v>
      </c>
      <c r="M582">
        <v>48</v>
      </c>
      <c r="N582">
        <v>10533</v>
      </c>
      <c r="O582">
        <v>721</v>
      </c>
      <c r="P582" t="s">
        <v>212</v>
      </c>
      <c r="Q582" t="s">
        <v>258</v>
      </c>
      <c r="R582" s="2">
        <f>Table1[[#This Row],[Global_BoxOfficeUSD]]-Table1[[#This Row],[BudgetUSD]]</f>
        <v>0</v>
      </c>
      <c r="S582" s="15">
        <f>Table1[[#This Row],[Profit]]/Table1[[#This Row],[BudgetUSD]]</f>
        <v>0</v>
      </c>
      <c r="T582" t="str">
        <f>IF(Table1[[#This Row],[ROI]]&gt;100%,"Hit","Flop")</f>
        <v>Flop</v>
      </c>
    </row>
    <row r="583" spans="1:20" x14ac:dyDescent="0.3">
      <c r="A583">
        <v>905</v>
      </c>
      <c r="B583" t="s">
        <v>1316</v>
      </c>
      <c r="C583" t="s">
        <v>67</v>
      </c>
      <c r="D583">
        <v>2025</v>
      </c>
      <c r="E583" s="1">
        <v>45790</v>
      </c>
      <c r="F583" t="s">
        <v>23</v>
      </c>
      <c r="G583" s="2">
        <v>3696868.79</v>
      </c>
      <c r="H583" s="2">
        <v>3876370.85</v>
      </c>
      <c r="I583" s="2">
        <v>6006141.4800000004</v>
      </c>
      <c r="J583" s="2">
        <v>897670.59</v>
      </c>
      <c r="K583" s="2">
        <v>2285488.67</v>
      </c>
      <c r="L583">
        <v>6.9</v>
      </c>
      <c r="M583">
        <v>68</v>
      </c>
      <c r="N583">
        <v>201</v>
      </c>
      <c r="O583">
        <v>13024</v>
      </c>
      <c r="P583" t="s">
        <v>90</v>
      </c>
      <c r="Q583" t="s">
        <v>1012</v>
      </c>
      <c r="R583" s="2">
        <f>Table1[[#This Row],[Global_BoxOfficeUSD]]-Table1[[#This Row],[BudgetUSD]]</f>
        <v>2309272.6900000004</v>
      </c>
      <c r="S583" s="15">
        <f>Table1[[#This Row],[Profit]]/Table1[[#This Row],[BudgetUSD]]</f>
        <v>0.62465638386911759</v>
      </c>
      <c r="T583" t="str">
        <f>IF(Table1[[#This Row],[ROI]]&gt;100%,"Hit","Flop")</f>
        <v>Flop</v>
      </c>
    </row>
    <row r="584" spans="1:20" x14ac:dyDescent="0.3">
      <c r="A584">
        <v>527</v>
      </c>
      <c r="B584" t="s">
        <v>933</v>
      </c>
      <c r="C584" t="s">
        <v>67</v>
      </c>
      <c r="D584">
        <v>2013</v>
      </c>
      <c r="E584" s="1">
        <v>41499</v>
      </c>
      <c r="F584" t="s">
        <v>23</v>
      </c>
      <c r="G584" s="2">
        <v>1640396.67</v>
      </c>
      <c r="H584" s="2">
        <v>3042006.93</v>
      </c>
      <c r="I584" s="2">
        <v>5995079.4299999997</v>
      </c>
      <c r="J584" s="2">
        <v>382266.16</v>
      </c>
      <c r="K584" s="2">
        <v>1257766.0900000001</v>
      </c>
      <c r="L584">
        <v>6.6</v>
      </c>
      <c r="M584">
        <v>55</v>
      </c>
      <c r="N584">
        <v>1803</v>
      </c>
      <c r="O584">
        <v>494</v>
      </c>
      <c r="P584" t="s">
        <v>260</v>
      </c>
      <c r="Q584" t="s">
        <v>934</v>
      </c>
      <c r="R584" s="2">
        <f>Table1[[#This Row],[Global_BoxOfficeUSD]]-Table1[[#This Row],[BudgetUSD]]</f>
        <v>4354682.76</v>
      </c>
      <c r="S584" s="15">
        <f>Table1[[#This Row],[Profit]]/Table1[[#This Row],[BudgetUSD]]</f>
        <v>2.6546522799269034</v>
      </c>
      <c r="T584" t="str">
        <f>IF(Table1[[#This Row],[ROI]]&gt;100%,"Hit","Flop")</f>
        <v>Hit</v>
      </c>
    </row>
    <row r="585" spans="1:20" x14ac:dyDescent="0.3">
      <c r="A585">
        <v>721</v>
      </c>
      <c r="B585" t="s">
        <v>1139</v>
      </c>
      <c r="C585" t="s">
        <v>77</v>
      </c>
      <c r="D585">
        <v>2000</v>
      </c>
      <c r="E585" s="1">
        <v>36730</v>
      </c>
      <c r="F585" t="s">
        <v>23</v>
      </c>
      <c r="G585" s="2">
        <v>2909398.19</v>
      </c>
      <c r="H585" s="2">
        <v>2580940.12</v>
      </c>
      <c r="I585" s="2">
        <v>5990947.9400000004</v>
      </c>
      <c r="J585" s="2">
        <v>475619.35</v>
      </c>
      <c r="K585" s="2">
        <v>1295622.2</v>
      </c>
      <c r="L585">
        <v>8.4</v>
      </c>
      <c r="M585">
        <v>68</v>
      </c>
      <c r="N585">
        <v>18487</v>
      </c>
      <c r="O585">
        <v>158</v>
      </c>
      <c r="P585" t="s">
        <v>208</v>
      </c>
      <c r="Q585" t="s">
        <v>609</v>
      </c>
      <c r="R585" s="2">
        <f>Table1[[#This Row],[Global_BoxOfficeUSD]]-Table1[[#This Row],[BudgetUSD]]</f>
        <v>3081549.7500000005</v>
      </c>
      <c r="S585" s="15">
        <f>Table1[[#This Row],[Profit]]/Table1[[#This Row],[BudgetUSD]]</f>
        <v>1.0591708486626921</v>
      </c>
      <c r="T585" t="str">
        <f>IF(Table1[[#This Row],[ROI]]&gt;100%,"Hit","Flop")</f>
        <v>Hit</v>
      </c>
    </row>
    <row r="586" spans="1:20" x14ac:dyDescent="0.3">
      <c r="A586">
        <v>113</v>
      </c>
      <c r="B586" t="s">
        <v>315</v>
      </c>
      <c r="C586" t="s">
        <v>107</v>
      </c>
      <c r="D586">
        <v>2000</v>
      </c>
      <c r="E586" s="1">
        <v>36784</v>
      </c>
      <c r="F586" t="s">
        <v>23</v>
      </c>
      <c r="G586" s="2">
        <v>1537625.71</v>
      </c>
      <c r="H586" s="2">
        <v>3243764.22</v>
      </c>
      <c r="I586" s="2">
        <v>5980646.5700000003</v>
      </c>
      <c r="J586" s="2">
        <v>834515.97</v>
      </c>
      <c r="K586" s="2">
        <v>1735535.31</v>
      </c>
      <c r="L586">
        <v>6.1</v>
      </c>
      <c r="M586">
        <v>60</v>
      </c>
      <c r="N586">
        <v>235</v>
      </c>
      <c r="O586">
        <v>618</v>
      </c>
      <c r="P586" t="s">
        <v>316</v>
      </c>
      <c r="Q586" t="s">
        <v>190</v>
      </c>
      <c r="R586" s="2">
        <f>Table1[[#This Row],[Global_BoxOfficeUSD]]-Table1[[#This Row],[BudgetUSD]]</f>
        <v>4443020.8600000003</v>
      </c>
      <c r="S586" s="15">
        <f>Table1[[#This Row],[Profit]]/Table1[[#This Row],[BudgetUSD]]</f>
        <v>2.8895334092716234</v>
      </c>
      <c r="T586" t="str">
        <f>IF(Table1[[#This Row],[ROI]]&gt;100%,"Hit","Flop")</f>
        <v>Hit</v>
      </c>
    </row>
    <row r="587" spans="1:20" x14ac:dyDescent="0.3">
      <c r="A587">
        <v>270</v>
      </c>
      <c r="B587" t="s">
        <v>597</v>
      </c>
      <c r="C587" t="s">
        <v>38</v>
      </c>
      <c r="D587">
        <v>2005</v>
      </c>
      <c r="E587" s="1">
        <v>38437</v>
      </c>
      <c r="F587" t="s">
        <v>249</v>
      </c>
      <c r="G587" s="2">
        <v>3801983.18</v>
      </c>
      <c r="H587" s="2">
        <v>2586817.5499999998</v>
      </c>
      <c r="I587" s="2">
        <v>5924307.6200000001</v>
      </c>
      <c r="J587" s="2">
        <v>743707.19</v>
      </c>
      <c r="K587" s="2">
        <v>1053142.8799999999</v>
      </c>
      <c r="L587">
        <v>4.5</v>
      </c>
      <c r="M587">
        <v>55</v>
      </c>
      <c r="N587">
        <v>6443</v>
      </c>
      <c r="O587">
        <v>142</v>
      </c>
      <c r="P587" t="s">
        <v>280</v>
      </c>
      <c r="Q587" t="s">
        <v>381</v>
      </c>
      <c r="R587" s="2">
        <f>Table1[[#This Row],[Global_BoxOfficeUSD]]-Table1[[#This Row],[BudgetUSD]]</f>
        <v>2122324.44</v>
      </c>
      <c r="S587" s="15">
        <f>Table1[[#This Row],[Profit]]/Table1[[#This Row],[BudgetUSD]]</f>
        <v>0.55821510499160065</v>
      </c>
      <c r="T587" t="str">
        <f>IF(Table1[[#This Row],[ROI]]&gt;100%,"Hit","Flop")</f>
        <v>Flop</v>
      </c>
    </row>
    <row r="588" spans="1:20" x14ac:dyDescent="0.3">
      <c r="A588">
        <v>738</v>
      </c>
      <c r="B588" t="s">
        <v>1156</v>
      </c>
      <c r="C588" t="s">
        <v>77</v>
      </c>
      <c r="D588">
        <v>2025</v>
      </c>
      <c r="E588" s="1">
        <v>45727</v>
      </c>
      <c r="F588" t="s">
        <v>23</v>
      </c>
      <c r="G588" s="2">
        <v>1372980.38</v>
      </c>
      <c r="H588" s="2">
        <v>3068900.84</v>
      </c>
      <c r="I588" s="2">
        <v>5889411.9800000004</v>
      </c>
      <c r="J588" s="2">
        <v>840760.88</v>
      </c>
      <c r="K588" s="2">
        <v>1458991.47</v>
      </c>
      <c r="L588">
        <v>8.1</v>
      </c>
      <c r="M588">
        <v>91</v>
      </c>
      <c r="N588">
        <v>1359</v>
      </c>
      <c r="O588">
        <v>726</v>
      </c>
      <c r="P588" t="s">
        <v>192</v>
      </c>
      <c r="Q588" t="s">
        <v>609</v>
      </c>
      <c r="R588" s="2">
        <f>Table1[[#This Row],[Global_BoxOfficeUSD]]-Table1[[#This Row],[BudgetUSD]]</f>
        <v>4516431.6000000006</v>
      </c>
      <c r="S588" s="15">
        <f>Table1[[#This Row],[Profit]]/Table1[[#This Row],[BudgetUSD]]</f>
        <v>3.2895092062422631</v>
      </c>
      <c r="T588" t="str">
        <f>IF(Table1[[#This Row],[ROI]]&gt;100%,"Hit","Flop")</f>
        <v>Hit</v>
      </c>
    </row>
    <row r="589" spans="1:20" x14ac:dyDescent="0.3">
      <c r="A589">
        <v>233</v>
      </c>
      <c r="B589" t="s">
        <v>545</v>
      </c>
      <c r="C589" t="s">
        <v>67</v>
      </c>
      <c r="D589">
        <v>1964</v>
      </c>
      <c r="E589" s="1">
        <v>23657</v>
      </c>
      <c r="F589" t="s">
        <v>23</v>
      </c>
      <c r="G589" s="2">
        <v>5867706.0800000001</v>
      </c>
      <c r="H589" s="2">
        <v>3083628.62</v>
      </c>
      <c r="I589" s="2">
        <v>5867706.0800000001</v>
      </c>
      <c r="J589" s="2">
        <v>332544.33</v>
      </c>
      <c r="K589" s="2">
        <v>1664855.87</v>
      </c>
      <c r="L589">
        <v>6</v>
      </c>
      <c r="M589">
        <v>57</v>
      </c>
      <c r="N589">
        <v>1494</v>
      </c>
      <c r="O589">
        <v>94</v>
      </c>
      <c r="P589" t="s">
        <v>385</v>
      </c>
      <c r="Q589" t="s">
        <v>278</v>
      </c>
      <c r="R589" s="2">
        <f>Table1[[#This Row],[Global_BoxOfficeUSD]]-Table1[[#This Row],[BudgetUSD]]</f>
        <v>0</v>
      </c>
      <c r="S589" s="15">
        <f>Table1[[#This Row],[Profit]]/Table1[[#This Row],[BudgetUSD]]</f>
        <v>0</v>
      </c>
      <c r="T589" t="str">
        <f>IF(Table1[[#This Row],[ROI]]&gt;100%,"Hit","Flop")</f>
        <v>Flop</v>
      </c>
    </row>
    <row r="590" spans="1:20" x14ac:dyDescent="0.3">
      <c r="A590">
        <v>987</v>
      </c>
      <c r="B590" t="s">
        <v>1397</v>
      </c>
      <c r="C590" t="s">
        <v>77</v>
      </c>
      <c r="D590">
        <v>2012</v>
      </c>
      <c r="E590" s="1">
        <v>40969</v>
      </c>
      <c r="F590" t="s">
        <v>23</v>
      </c>
      <c r="G590" s="2">
        <v>5828059.1299999999</v>
      </c>
      <c r="H590" s="2">
        <v>3079236.02</v>
      </c>
      <c r="I590" s="2">
        <v>5828059.1299999999</v>
      </c>
      <c r="J590" s="2">
        <v>499967.79</v>
      </c>
      <c r="K590" s="2">
        <v>1405160.07</v>
      </c>
      <c r="L590">
        <v>6</v>
      </c>
      <c r="M590">
        <v>74</v>
      </c>
      <c r="N590">
        <v>3100</v>
      </c>
      <c r="O590">
        <v>719</v>
      </c>
      <c r="P590" t="s">
        <v>177</v>
      </c>
      <c r="Q590" t="s">
        <v>819</v>
      </c>
      <c r="R590" s="2">
        <f>Table1[[#This Row],[Global_BoxOfficeUSD]]-Table1[[#This Row],[BudgetUSD]]</f>
        <v>0</v>
      </c>
      <c r="S590" s="15">
        <f>Table1[[#This Row],[Profit]]/Table1[[#This Row],[BudgetUSD]]</f>
        <v>0</v>
      </c>
      <c r="T590" t="str">
        <f>IF(Table1[[#This Row],[ROI]]&gt;100%,"Hit","Flop")</f>
        <v>Flop</v>
      </c>
    </row>
    <row r="591" spans="1:20" x14ac:dyDescent="0.3">
      <c r="A591">
        <v>186</v>
      </c>
      <c r="B591" t="s">
        <v>465</v>
      </c>
      <c r="C591" t="s">
        <v>67</v>
      </c>
      <c r="D591">
        <v>1992</v>
      </c>
      <c r="E591" s="1">
        <v>33641</v>
      </c>
      <c r="F591" t="s">
        <v>23</v>
      </c>
      <c r="G591" s="2">
        <v>1419564.07</v>
      </c>
      <c r="H591" s="2">
        <v>3422598.07</v>
      </c>
      <c r="I591" s="2">
        <v>5740629.5300000003</v>
      </c>
      <c r="J591" s="2">
        <v>621229.41</v>
      </c>
      <c r="K591" s="2">
        <v>1790155.51</v>
      </c>
      <c r="L591">
        <v>6.8</v>
      </c>
      <c r="M591">
        <v>38</v>
      </c>
      <c r="N591">
        <v>61619</v>
      </c>
      <c r="O591">
        <v>250</v>
      </c>
      <c r="P591" t="s">
        <v>240</v>
      </c>
      <c r="Q591" t="s">
        <v>203</v>
      </c>
      <c r="R591" s="2">
        <f>Table1[[#This Row],[Global_BoxOfficeUSD]]-Table1[[#This Row],[BudgetUSD]]</f>
        <v>4321065.46</v>
      </c>
      <c r="S591" s="15">
        <f>Table1[[#This Row],[Profit]]/Table1[[#This Row],[BudgetUSD]]</f>
        <v>3.0439383126962349</v>
      </c>
      <c r="T591" t="str">
        <f>IF(Table1[[#This Row],[ROI]]&gt;100%,"Hit","Flop")</f>
        <v>Hit</v>
      </c>
    </row>
    <row r="592" spans="1:20" x14ac:dyDescent="0.3">
      <c r="A592">
        <v>421</v>
      </c>
      <c r="B592" t="s">
        <v>804</v>
      </c>
      <c r="C592" t="s">
        <v>18</v>
      </c>
      <c r="D592">
        <v>2003</v>
      </c>
      <c r="E592" s="1">
        <v>37828</v>
      </c>
      <c r="F592" t="s">
        <v>23</v>
      </c>
      <c r="G592" s="2">
        <v>1968339.95</v>
      </c>
      <c r="H592" s="2">
        <v>2603014.58</v>
      </c>
      <c r="I592" s="2">
        <v>5719218.21</v>
      </c>
      <c r="J592" s="2">
        <v>490462.88</v>
      </c>
      <c r="K592" s="2">
        <v>1144691.96</v>
      </c>
      <c r="L592">
        <v>7.9</v>
      </c>
      <c r="M592">
        <v>76</v>
      </c>
      <c r="N592">
        <v>335</v>
      </c>
      <c r="O592">
        <v>2434</v>
      </c>
      <c r="P592" t="s">
        <v>102</v>
      </c>
      <c r="Q592" t="s">
        <v>217</v>
      </c>
      <c r="R592" s="2">
        <f>Table1[[#This Row],[Global_BoxOfficeUSD]]-Table1[[#This Row],[BudgetUSD]]</f>
        <v>3750878.26</v>
      </c>
      <c r="S592" s="15">
        <f>Table1[[#This Row],[Profit]]/Table1[[#This Row],[BudgetUSD]]</f>
        <v>1.9056049032587079</v>
      </c>
      <c r="T592" t="str">
        <f>IF(Table1[[#This Row],[ROI]]&gt;100%,"Hit","Flop")</f>
        <v>Hit</v>
      </c>
    </row>
    <row r="593" spans="1:20" x14ac:dyDescent="0.3">
      <c r="A593">
        <v>412</v>
      </c>
      <c r="B593" t="s">
        <v>791</v>
      </c>
      <c r="C593" t="s">
        <v>38</v>
      </c>
      <c r="D593">
        <v>2005</v>
      </c>
      <c r="E593" s="1">
        <v>38451</v>
      </c>
      <c r="F593" t="s">
        <v>23</v>
      </c>
      <c r="G593" s="2">
        <v>2060976.24</v>
      </c>
      <c r="H593" s="2">
        <v>3399508.86</v>
      </c>
      <c r="I593" s="2">
        <v>5684506.0700000003</v>
      </c>
      <c r="J593" s="2">
        <v>891907.61</v>
      </c>
      <c r="K593" s="2">
        <v>1443338.62</v>
      </c>
      <c r="L593">
        <v>6.8</v>
      </c>
      <c r="M593">
        <v>61</v>
      </c>
      <c r="N593">
        <v>2831</v>
      </c>
      <c r="O593">
        <v>1709</v>
      </c>
      <c r="P593" t="s">
        <v>393</v>
      </c>
      <c r="Q593" t="s">
        <v>792</v>
      </c>
      <c r="R593" s="2">
        <f>Table1[[#This Row],[Global_BoxOfficeUSD]]-Table1[[#This Row],[BudgetUSD]]</f>
        <v>3623529.83</v>
      </c>
      <c r="S593" s="15">
        <f>Table1[[#This Row],[Profit]]/Table1[[#This Row],[BudgetUSD]]</f>
        <v>1.7581618650780759</v>
      </c>
      <c r="T593" t="str">
        <f>IF(Table1[[#This Row],[ROI]]&gt;100%,"Hit","Flop")</f>
        <v>Hit</v>
      </c>
    </row>
    <row r="594" spans="1:20" x14ac:dyDescent="0.3">
      <c r="A594">
        <v>137</v>
      </c>
      <c r="B594" t="s">
        <v>365</v>
      </c>
      <c r="C594" t="s">
        <v>86</v>
      </c>
      <c r="D594">
        <v>1960</v>
      </c>
      <c r="E594" s="1">
        <v>21953</v>
      </c>
      <c r="F594" t="s">
        <v>139</v>
      </c>
      <c r="G594" s="2">
        <v>5682724.3799999999</v>
      </c>
      <c r="H594" s="2">
        <v>2519116.2200000002</v>
      </c>
      <c r="I594" s="2">
        <v>5682724.3799999999</v>
      </c>
      <c r="J594" s="2">
        <v>262654.28999999998</v>
      </c>
      <c r="K594" s="2">
        <v>1399609.96</v>
      </c>
      <c r="L594">
        <v>6.8</v>
      </c>
      <c r="M594">
        <v>60</v>
      </c>
      <c r="N594">
        <v>7652</v>
      </c>
      <c r="O594">
        <v>50</v>
      </c>
      <c r="P594" t="s">
        <v>319</v>
      </c>
      <c r="Q594" t="s">
        <v>366</v>
      </c>
      <c r="R594" s="2">
        <f>Table1[[#This Row],[Global_BoxOfficeUSD]]-Table1[[#This Row],[BudgetUSD]]</f>
        <v>0</v>
      </c>
      <c r="S594" s="15">
        <f>Table1[[#This Row],[Profit]]/Table1[[#This Row],[BudgetUSD]]</f>
        <v>0</v>
      </c>
      <c r="T594" t="str">
        <f>IF(Table1[[#This Row],[ROI]]&gt;100%,"Hit","Flop")</f>
        <v>Flop</v>
      </c>
    </row>
    <row r="595" spans="1:20" x14ac:dyDescent="0.3">
      <c r="A595">
        <v>62</v>
      </c>
      <c r="B595" t="s">
        <v>199</v>
      </c>
      <c r="C595" t="s">
        <v>33</v>
      </c>
      <c r="D595">
        <v>2010</v>
      </c>
      <c r="E595" s="1">
        <v>40520</v>
      </c>
      <c r="F595" t="s">
        <v>139</v>
      </c>
      <c r="G595" s="2">
        <v>3846865.14</v>
      </c>
      <c r="H595" s="2">
        <v>2426864.14</v>
      </c>
      <c r="I595" s="2">
        <v>5661038.0899999999</v>
      </c>
      <c r="J595" s="2">
        <v>605464.32999999996</v>
      </c>
      <c r="K595" s="2">
        <v>1127868.54</v>
      </c>
      <c r="L595">
        <v>6.4</v>
      </c>
      <c r="M595">
        <v>55</v>
      </c>
      <c r="N595">
        <v>1415</v>
      </c>
      <c r="O595">
        <v>465</v>
      </c>
      <c r="P595" t="s">
        <v>200</v>
      </c>
      <c r="Q595" t="s">
        <v>47</v>
      </c>
      <c r="R595" s="2">
        <f>Table1[[#This Row],[Global_BoxOfficeUSD]]-Table1[[#This Row],[BudgetUSD]]</f>
        <v>1814172.9499999997</v>
      </c>
      <c r="S595" s="15">
        <f>Table1[[#This Row],[Profit]]/Table1[[#This Row],[BudgetUSD]]</f>
        <v>0.47159775140960614</v>
      </c>
      <c r="T595" t="str">
        <f>IF(Table1[[#This Row],[ROI]]&gt;100%,"Hit","Flop")</f>
        <v>Flop</v>
      </c>
    </row>
    <row r="596" spans="1:20" x14ac:dyDescent="0.3">
      <c r="A596">
        <v>546</v>
      </c>
      <c r="B596" t="s">
        <v>957</v>
      </c>
      <c r="C596" t="s">
        <v>18</v>
      </c>
      <c r="D596">
        <v>1999</v>
      </c>
      <c r="E596" s="1">
        <v>36506</v>
      </c>
      <c r="F596" t="s">
        <v>23</v>
      </c>
      <c r="G596" s="2">
        <v>2612750.85</v>
      </c>
      <c r="H596" s="2">
        <v>3227881.83</v>
      </c>
      <c r="I596" s="2">
        <v>5659172.25</v>
      </c>
      <c r="J596" s="2">
        <v>558163.18999999994</v>
      </c>
      <c r="K596" s="2">
        <v>1689675.44</v>
      </c>
      <c r="L596">
        <v>5.7</v>
      </c>
      <c r="M596">
        <v>65</v>
      </c>
      <c r="N596">
        <v>34959</v>
      </c>
      <c r="O596">
        <v>209</v>
      </c>
      <c r="P596" t="s">
        <v>302</v>
      </c>
      <c r="Q596" t="s">
        <v>476</v>
      </c>
      <c r="R596" s="2">
        <f>Table1[[#This Row],[Global_BoxOfficeUSD]]-Table1[[#This Row],[BudgetUSD]]</f>
        <v>3046421.4</v>
      </c>
      <c r="S596" s="15">
        <f>Table1[[#This Row],[Profit]]/Table1[[#This Row],[BudgetUSD]]</f>
        <v>1.1659823591675418</v>
      </c>
      <c r="T596" t="str">
        <f>IF(Table1[[#This Row],[ROI]]&gt;100%,"Hit","Flop")</f>
        <v>Hit</v>
      </c>
    </row>
    <row r="597" spans="1:20" x14ac:dyDescent="0.3">
      <c r="A597">
        <v>906</v>
      </c>
      <c r="B597" t="s">
        <v>1317</v>
      </c>
      <c r="C597" t="s">
        <v>38</v>
      </c>
      <c r="D597">
        <v>1992</v>
      </c>
      <c r="E597" s="1">
        <v>33771</v>
      </c>
      <c r="F597" t="s">
        <v>139</v>
      </c>
      <c r="G597" s="2">
        <v>5632605.6299999999</v>
      </c>
      <c r="H597" s="2">
        <v>2830694.42</v>
      </c>
      <c r="I597" s="2">
        <v>5632605.6299999999</v>
      </c>
      <c r="J597" s="2">
        <v>396262.1</v>
      </c>
      <c r="K597" s="2">
        <v>1296171</v>
      </c>
      <c r="L597">
        <v>5.9</v>
      </c>
      <c r="M597">
        <v>75</v>
      </c>
      <c r="N597">
        <v>48331</v>
      </c>
      <c r="O597">
        <v>12316</v>
      </c>
      <c r="P597" t="s">
        <v>195</v>
      </c>
      <c r="Q597" t="s">
        <v>399</v>
      </c>
      <c r="R597" s="2">
        <f>Table1[[#This Row],[Global_BoxOfficeUSD]]-Table1[[#This Row],[BudgetUSD]]</f>
        <v>0</v>
      </c>
      <c r="S597" s="15">
        <f>Table1[[#This Row],[Profit]]/Table1[[#This Row],[BudgetUSD]]</f>
        <v>0</v>
      </c>
      <c r="T597" t="str">
        <f>IF(Table1[[#This Row],[ROI]]&gt;100%,"Hit","Flop")</f>
        <v>Flop</v>
      </c>
    </row>
    <row r="598" spans="1:20" x14ac:dyDescent="0.3">
      <c r="A598">
        <v>14</v>
      </c>
      <c r="B598" t="s">
        <v>63</v>
      </c>
      <c r="C598" t="s">
        <v>38</v>
      </c>
      <c r="D598">
        <v>1967</v>
      </c>
      <c r="E598" s="1">
        <v>24621</v>
      </c>
      <c r="F598" t="s">
        <v>23</v>
      </c>
      <c r="G598" s="2">
        <v>2003466.13</v>
      </c>
      <c r="H598" s="2">
        <v>2801289</v>
      </c>
      <c r="I598" s="2">
        <v>5618102.9000000004</v>
      </c>
      <c r="J598" s="2">
        <v>538865.31000000006</v>
      </c>
      <c r="K598" s="2">
        <v>1584090.22</v>
      </c>
      <c r="L598">
        <v>4.5999999999999996</v>
      </c>
      <c r="M598">
        <v>55</v>
      </c>
      <c r="N598">
        <v>2457</v>
      </c>
      <c r="O598">
        <v>1664</v>
      </c>
      <c r="P598" t="s">
        <v>64</v>
      </c>
      <c r="Q598" t="s">
        <v>65</v>
      </c>
      <c r="R598" s="2">
        <f>Table1[[#This Row],[Global_BoxOfficeUSD]]-Table1[[#This Row],[BudgetUSD]]</f>
        <v>3614636.7700000005</v>
      </c>
      <c r="S598" s="15">
        <f>Table1[[#This Row],[Profit]]/Table1[[#This Row],[BudgetUSD]]</f>
        <v>1.8041916036783714</v>
      </c>
      <c r="T598" t="str">
        <f>IF(Table1[[#This Row],[ROI]]&gt;100%,"Hit","Flop")</f>
        <v>Hit</v>
      </c>
    </row>
    <row r="599" spans="1:20" x14ac:dyDescent="0.3">
      <c r="A599">
        <v>818</v>
      </c>
      <c r="B599" t="s">
        <v>1237</v>
      </c>
      <c r="C599" t="s">
        <v>67</v>
      </c>
      <c r="D599">
        <v>2025</v>
      </c>
      <c r="E599" s="1">
        <v>45842</v>
      </c>
      <c r="F599" t="s">
        <v>23</v>
      </c>
      <c r="G599" s="2">
        <v>1841051.41</v>
      </c>
      <c r="H599" s="2">
        <v>3237132.89</v>
      </c>
      <c r="I599" s="2">
        <v>5610086.2199999997</v>
      </c>
      <c r="J599" s="2">
        <v>630618.19999999995</v>
      </c>
      <c r="K599" s="2">
        <v>1893159.59</v>
      </c>
      <c r="L599">
        <v>4.7</v>
      </c>
      <c r="M599">
        <v>38</v>
      </c>
      <c r="N599">
        <v>16552</v>
      </c>
      <c r="O599">
        <v>62</v>
      </c>
      <c r="P599" t="s">
        <v>385</v>
      </c>
      <c r="Q599" t="s">
        <v>473</v>
      </c>
      <c r="R599" s="2">
        <f>Table1[[#This Row],[Global_BoxOfficeUSD]]-Table1[[#This Row],[BudgetUSD]]</f>
        <v>3769034.8099999996</v>
      </c>
      <c r="S599" s="15">
        <f>Table1[[#This Row],[Profit]]/Table1[[#This Row],[BudgetUSD]]</f>
        <v>2.0472186651213611</v>
      </c>
      <c r="T599" t="str">
        <f>IF(Table1[[#This Row],[ROI]]&gt;100%,"Hit","Flop")</f>
        <v>Hit</v>
      </c>
    </row>
    <row r="600" spans="1:20" x14ac:dyDescent="0.3">
      <c r="A600">
        <v>512</v>
      </c>
      <c r="B600" t="s">
        <v>891</v>
      </c>
      <c r="C600" t="s">
        <v>67</v>
      </c>
      <c r="D600">
        <v>2025</v>
      </c>
      <c r="E600" s="1">
        <v>45684</v>
      </c>
      <c r="F600" t="s">
        <v>23</v>
      </c>
      <c r="G600" s="2">
        <v>1626066.94</v>
      </c>
      <c r="H600" s="2">
        <v>2763776.2</v>
      </c>
      <c r="I600" s="2">
        <v>5570179.5800000001</v>
      </c>
      <c r="J600" s="2">
        <v>613180</v>
      </c>
      <c r="K600" s="2">
        <v>1276881.68</v>
      </c>
      <c r="L600">
        <v>5.0999999999999996</v>
      </c>
      <c r="M600">
        <v>59</v>
      </c>
      <c r="N600">
        <v>10166</v>
      </c>
      <c r="O600">
        <v>5326</v>
      </c>
      <c r="P600" t="s">
        <v>427</v>
      </c>
      <c r="Q600" t="s">
        <v>425</v>
      </c>
      <c r="R600" s="2">
        <f>Table1[[#This Row],[Global_BoxOfficeUSD]]-Table1[[#This Row],[BudgetUSD]]</f>
        <v>3944112.64</v>
      </c>
      <c r="S600" s="15">
        <f>Table1[[#This Row],[Profit]]/Table1[[#This Row],[BudgetUSD]]</f>
        <v>2.4255536737005428</v>
      </c>
      <c r="T600" t="str">
        <f>IF(Table1[[#This Row],[ROI]]&gt;100%,"Hit","Flop")</f>
        <v>Hit</v>
      </c>
    </row>
    <row r="601" spans="1:20" x14ac:dyDescent="0.3">
      <c r="A601">
        <v>879</v>
      </c>
      <c r="B601" t="s">
        <v>1294</v>
      </c>
      <c r="C601" t="s">
        <v>33</v>
      </c>
      <c r="D601">
        <v>1999</v>
      </c>
      <c r="E601" s="1">
        <v>36490</v>
      </c>
      <c r="F601" t="s">
        <v>23</v>
      </c>
      <c r="G601" s="2">
        <v>1240826.94</v>
      </c>
      <c r="H601" s="2">
        <v>3000200.42</v>
      </c>
      <c r="I601" s="2">
        <v>5539914.21</v>
      </c>
      <c r="J601" s="2">
        <v>881478.41</v>
      </c>
      <c r="K601" s="2">
        <v>1678880.6</v>
      </c>
      <c r="L601">
        <v>3.7</v>
      </c>
      <c r="M601">
        <v>45</v>
      </c>
      <c r="N601">
        <v>6440</v>
      </c>
      <c r="O601">
        <v>966</v>
      </c>
      <c r="P601" t="s">
        <v>427</v>
      </c>
      <c r="Q601" t="s">
        <v>482</v>
      </c>
      <c r="R601" s="2">
        <f>Table1[[#This Row],[Global_BoxOfficeUSD]]-Table1[[#This Row],[BudgetUSD]]</f>
        <v>4299087.2699999996</v>
      </c>
      <c r="S601" s="15">
        <f>Table1[[#This Row],[Profit]]/Table1[[#This Row],[BudgetUSD]]</f>
        <v>3.4646953023118598</v>
      </c>
      <c r="T601" t="str">
        <f>IF(Table1[[#This Row],[ROI]]&gt;100%,"Hit","Flop")</f>
        <v>Hit</v>
      </c>
    </row>
    <row r="602" spans="1:20" x14ac:dyDescent="0.3">
      <c r="A602">
        <v>371</v>
      </c>
      <c r="B602" t="s">
        <v>736</v>
      </c>
      <c r="C602" t="s">
        <v>38</v>
      </c>
      <c r="D602">
        <v>1971</v>
      </c>
      <c r="E602" s="1">
        <v>26080</v>
      </c>
      <c r="F602" t="s">
        <v>23</v>
      </c>
      <c r="G602" s="2">
        <v>1274299.1399999999</v>
      </c>
      <c r="H602" s="2">
        <v>2549503.66</v>
      </c>
      <c r="I602" s="2">
        <v>5495788.3700000001</v>
      </c>
      <c r="J602" s="2">
        <v>555222.53</v>
      </c>
      <c r="K602" s="2">
        <v>1277132.48</v>
      </c>
      <c r="L602">
        <v>4.4000000000000004</v>
      </c>
      <c r="M602">
        <v>33</v>
      </c>
      <c r="N602">
        <v>3773</v>
      </c>
      <c r="O602">
        <v>80</v>
      </c>
      <c r="P602" t="s">
        <v>149</v>
      </c>
      <c r="Q602" t="s">
        <v>238</v>
      </c>
      <c r="R602" s="2">
        <f>Table1[[#This Row],[Global_BoxOfficeUSD]]-Table1[[#This Row],[BudgetUSD]]</f>
        <v>4221489.2300000004</v>
      </c>
      <c r="S602" s="15">
        <f>Table1[[#This Row],[Profit]]/Table1[[#This Row],[BudgetUSD]]</f>
        <v>3.3127929679054802</v>
      </c>
      <c r="T602" t="str">
        <f>IF(Table1[[#This Row],[ROI]]&gt;100%,"Hit","Flop")</f>
        <v>Hit</v>
      </c>
    </row>
    <row r="603" spans="1:20" x14ac:dyDescent="0.3">
      <c r="A603">
        <v>771</v>
      </c>
      <c r="B603" t="s">
        <v>1083</v>
      </c>
      <c r="C603" t="s">
        <v>67</v>
      </c>
      <c r="D603">
        <v>2007</v>
      </c>
      <c r="E603" s="1">
        <v>39211</v>
      </c>
      <c r="F603" t="s">
        <v>23</v>
      </c>
      <c r="G603" s="2">
        <v>5491377.0800000001</v>
      </c>
      <c r="H603" s="2">
        <v>3234914.39</v>
      </c>
      <c r="I603" s="2">
        <v>5491377.0800000001</v>
      </c>
      <c r="J603" s="2">
        <v>600991.31000000006</v>
      </c>
      <c r="K603" s="2">
        <v>1456601.61</v>
      </c>
      <c r="L603">
        <v>5.7</v>
      </c>
      <c r="M603">
        <v>59</v>
      </c>
      <c r="N603">
        <v>1520</v>
      </c>
      <c r="O603">
        <v>739</v>
      </c>
      <c r="P603" t="s">
        <v>129</v>
      </c>
      <c r="Q603" t="s">
        <v>349</v>
      </c>
      <c r="R603" s="2">
        <f>Table1[[#This Row],[Global_BoxOfficeUSD]]-Table1[[#This Row],[BudgetUSD]]</f>
        <v>0</v>
      </c>
      <c r="S603" s="15">
        <f>Table1[[#This Row],[Profit]]/Table1[[#This Row],[BudgetUSD]]</f>
        <v>0</v>
      </c>
      <c r="T603" t="str">
        <f>IF(Table1[[#This Row],[ROI]]&gt;100%,"Hit","Flop")</f>
        <v>Flop</v>
      </c>
    </row>
    <row r="604" spans="1:20" x14ac:dyDescent="0.3">
      <c r="A604">
        <v>680</v>
      </c>
      <c r="B604" t="s">
        <v>1099</v>
      </c>
      <c r="C604" t="s">
        <v>45</v>
      </c>
      <c r="D604">
        <v>2022</v>
      </c>
      <c r="E604" s="1">
        <v>44860</v>
      </c>
      <c r="F604" t="s">
        <v>23</v>
      </c>
      <c r="G604" s="2">
        <v>5477206.1900000004</v>
      </c>
      <c r="H604" s="2">
        <v>3050954.61</v>
      </c>
      <c r="I604" s="2">
        <v>5477206.1900000004</v>
      </c>
      <c r="J604" s="2">
        <v>755918.34</v>
      </c>
      <c r="K604" s="2">
        <v>1801224</v>
      </c>
      <c r="L604">
        <v>6.2</v>
      </c>
      <c r="M604">
        <v>61</v>
      </c>
      <c r="N604">
        <v>2172</v>
      </c>
      <c r="O604">
        <v>603</v>
      </c>
      <c r="P604" t="s">
        <v>865</v>
      </c>
      <c r="Q604" t="s">
        <v>1100</v>
      </c>
      <c r="R604" s="2">
        <f>Table1[[#This Row],[Global_BoxOfficeUSD]]-Table1[[#This Row],[BudgetUSD]]</f>
        <v>0</v>
      </c>
      <c r="S604" s="15">
        <f>Table1[[#This Row],[Profit]]/Table1[[#This Row],[BudgetUSD]]</f>
        <v>0</v>
      </c>
      <c r="T604" t="str">
        <f>IF(Table1[[#This Row],[ROI]]&gt;100%,"Hit","Flop")</f>
        <v>Flop</v>
      </c>
    </row>
    <row r="605" spans="1:20" x14ac:dyDescent="0.3">
      <c r="A605">
        <v>58</v>
      </c>
      <c r="B605" t="s">
        <v>189</v>
      </c>
      <c r="C605" t="s">
        <v>18</v>
      </c>
      <c r="D605">
        <v>1950</v>
      </c>
      <c r="E605" s="1">
        <v>18605</v>
      </c>
      <c r="F605" t="s">
        <v>23</v>
      </c>
      <c r="G605" s="2">
        <v>1497530.58</v>
      </c>
      <c r="H605" s="2">
        <v>3082387</v>
      </c>
      <c r="I605" s="2">
        <v>5474112.54</v>
      </c>
      <c r="J605" s="2">
        <v>328046.51</v>
      </c>
      <c r="K605" s="2">
        <v>1617742.5</v>
      </c>
      <c r="L605">
        <v>4.5</v>
      </c>
      <c r="M605">
        <v>50</v>
      </c>
      <c r="N605">
        <v>10178</v>
      </c>
      <c r="O605">
        <v>1341</v>
      </c>
      <c r="P605" t="s">
        <v>102</v>
      </c>
      <c r="Q605" t="s">
        <v>190</v>
      </c>
      <c r="R605" s="2">
        <f>Table1[[#This Row],[Global_BoxOfficeUSD]]-Table1[[#This Row],[BudgetUSD]]</f>
        <v>3976581.96</v>
      </c>
      <c r="S605" s="15">
        <f>Table1[[#This Row],[Profit]]/Table1[[#This Row],[BudgetUSD]]</f>
        <v>2.6554262150693444</v>
      </c>
      <c r="T605" t="str">
        <f>IF(Table1[[#This Row],[ROI]]&gt;100%,"Hit","Flop")</f>
        <v>Hit</v>
      </c>
    </row>
    <row r="606" spans="1:20" x14ac:dyDescent="0.3">
      <c r="A606">
        <v>610</v>
      </c>
      <c r="B606" t="s">
        <v>1029</v>
      </c>
      <c r="C606" t="s">
        <v>86</v>
      </c>
      <c r="D606">
        <v>2013</v>
      </c>
      <c r="E606" s="1">
        <v>41542</v>
      </c>
      <c r="F606" t="s">
        <v>152</v>
      </c>
      <c r="G606" s="2">
        <v>3585503.59</v>
      </c>
      <c r="H606" s="2">
        <v>2195152.35</v>
      </c>
      <c r="I606" s="2">
        <v>5467524.29</v>
      </c>
      <c r="J606" s="2">
        <v>262974.26</v>
      </c>
      <c r="K606" s="2">
        <v>1009944.78</v>
      </c>
      <c r="L606">
        <v>4.5999999999999996</v>
      </c>
      <c r="M606">
        <v>45</v>
      </c>
      <c r="N606">
        <v>4142</v>
      </c>
      <c r="O606">
        <v>85</v>
      </c>
      <c r="P606" t="s">
        <v>35</v>
      </c>
      <c r="Q606" t="s">
        <v>739</v>
      </c>
      <c r="R606" s="2">
        <f>Table1[[#This Row],[Global_BoxOfficeUSD]]-Table1[[#This Row],[BudgetUSD]]</f>
        <v>1882020.7000000002</v>
      </c>
      <c r="S606" s="15">
        <f>Table1[[#This Row],[Profit]]/Table1[[#This Row],[BudgetUSD]]</f>
        <v>0.52489717350973286</v>
      </c>
      <c r="T606" t="str">
        <f>IF(Table1[[#This Row],[ROI]]&gt;100%,"Hit","Flop")</f>
        <v>Flop</v>
      </c>
    </row>
    <row r="607" spans="1:20" x14ac:dyDescent="0.3">
      <c r="A607">
        <v>50</v>
      </c>
      <c r="B607" t="s">
        <v>169</v>
      </c>
      <c r="C607" t="s">
        <v>18</v>
      </c>
      <c r="D607">
        <v>1993</v>
      </c>
      <c r="E607" s="1">
        <v>34084</v>
      </c>
      <c r="F607" t="s">
        <v>23</v>
      </c>
      <c r="G607" s="2">
        <v>2929612.32</v>
      </c>
      <c r="H607" s="2">
        <v>3630673.53</v>
      </c>
      <c r="I607" s="2">
        <v>5424425.4199999999</v>
      </c>
      <c r="J607" s="2">
        <v>379549.57</v>
      </c>
      <c r="K607" s="2">
        <v>1563726.25</v>
      </c>
      <c r="L607">
        <v>6.6</v>
      </c>
      <c r="M607">
        <v>61</v>
      </c>
      <c r="N607">
        <v>4726</v>
      </c>
      <c r="O607">
        <v>1206</v>
      </c>
      <c r="P607" t="s">
        <v>35</v>
      </c>
      <c r="Q607" t="s">
        <v>170</v>
      </c>
      <c r="R607" s="2">
        <f>Table1[[#This Row],[Global_BoxOfficeUSD]]-Table1[[#This Row],[BudgetUSD]]</f>
        <v>2494813.1</v>
      </c>
      <c r="S607" s="15">
        <f>Table1[[#This Row],[Profit]]/Table1[[#This Row],[BudgetUSD]]</f>
        <v>0.85158472435697574</v>
      </c>
      <c r="T607" t="str">
        <f>IF(Table1[[#This Row],[ROI]]&gt;100%,"Hit","Flop")</f>
        <v>Flop</v>
      </c>
    </row>
    <row r="608" spans="1:20" x14ac:dyDescent="0.3">
      <c r="A608">
        <v>901</v>
      </c>
      <c r="B608" t="s">
        <v>1313</v>
      </c>
      <c r="C608" t="s">
        <v>18</v>
      </c>
      <c r="D608">
        <v>1971</v>
      </c>
      <c r="E608" s="1">
        <v>26282</v>
      </c>
      <c r="F608" t="s">
        <v>23</v>
      </c>
      <c r="G608" s="2">
        <v>1133397.1299999999</v>
      </c>
      <c r="H608" s="2">
        <v>3076621.08</v>
      </c>
      <c r="I608" s="2">
        <v>5390423.4699999997</v>
      </c>
      <c r="J608" s="2">
        <v>761267.33</v>
      </c>
      <c r="K608" s="2">
        <v>1626333.62</v>
      </c>
      <c r="L608">
        <v>4.0999999999999996</v>
      </c>
      <c r="M608">
        <v>43</v>
      </c>
      <c r="N608">
        <v>1097</v>
      </c>
      <c r="O608">
        <v>216</v>
      </c>
      <c r="P608" t="s">
        <v>485</v>
      </c>
      <c r="Q608" t="s">
        <v>170</v>
      </c>
      <c r="R608" s="2">
        <f>Table1[[#This Row],[Global_BoxOfficeUSD]]-Table1[[#This Row],[BudgetUSD]]</f>
        <v>4257026.34</v>
      </c>
      <c r="S608" s="15">
        <f>Table1[[#This Row],[Profit]]/Table1[[#This Row],[BudgetUSD]]</f>
        <v>3.7559882827654594</v>
      </c>
      <c r="T608" t="str">
        <f>IF(Table1[[#This Row],[ROI]]&gt;100%,"Hit","Flop")</f>
        <v>Hit</v>
      </c>
    </row>
    <row r="609" spans="1:20" x14ac:dyDescent="0.3">
      <c r="A609">
        <v>970</v>
      </c>
      <c r="B609" t="s">
        <v>1379</v>
      </c>
      <c r="C609" t="s">
        <v>38</v>
      </c>
      <c r="D609">
        <v>1995</v>
      </c>
      <c r="E609" s="1">
        <v>34725</v>
      </c>
      <c r="F609" t="s">
        <v>23</v>
      </c>
      <c r="G609" s="2">
        <v>1251325.98</v>
      </c>
      <c r="H609" s="2">
        <v>2577178.7799999998</v>
      </c>
      <c r="I609" s="2">
        <v>5363748.63</v>
      </c>
      <c r="J609" s="2">
        <v>442502</v>
      </c>
      <c r="K609" s="2">
        <v>1212104.5900000001</v>
      </c>
      <c r="L609">
        <v>6.8</v>
      </c>
      <c r="M609">
        <v>62</v>
      </c>
      <c r="N609">
        <v>14459</v>
      </c>
      <c r="O609">
        <v>1495</v>
      </c>
      <c r="P609" t="s">
        <v>368</v>
      </c>
      <c r="Q609" t="s">
        <v>1380</v>
      </c>
      <c r="R609" s="2">
        <f>Table1[[#This Row],[Global_BoxOfficeUSD]]-Table1[[#This Row],[BudgetUSD]]</f>
        <v>4112422.65</v>
      </c>
      <c r="S609" s="15">
        <f>Table1[[#This Row],[Profit]]/Table1[[#This Row],[BudgetUSD]]</f>
        <v>3.2864519044030396</v>
      </c>
      <c r="T609" t="str">
        <f>IF(Table1[[#This Row],[ROI]]&gt;100%,"Hit","Flop")</f>
        <v>Hit</v>
      </c>
    </row>
    <row r="610" spans="1:20" x14ac:dyDescent="0.3">
      <c r="A610">
        <v>971</v>
      </c>
      <c r="B610" t="s">
        <v>1381</v>
      </c>
      <c r="C610" t="s">
        <v>107</v>
      </c>
      <c r="D610">
        <v>2024</v>
      </c>
      <c r="E610" s="1">
        <v>45532</v>
      </c>
      <c r="F610" t="s">
        <v>23</v>
      </c>
      <c r="G610" s="2">
        <v>2261120.86</v>
      </c>
      <c r="H610" s="2">
        <v>2223121.14</v>
      </c>
      <c r="I610" s="2">
        <v>5275567.7300000004</v>
      </c>
      <c r="J610" s="2">
        <v>572361.97</v>
      </c>
      <c r="K610" s="2">
        <v>941430.92</v>
      </c>
      <c r="L610">
        <v>7.9</v>
      </c>
      <c r="M610">
        <v>66</v>
      </c>
      <c r="N610">
        <v>3720</v>
      </c>
      <c r="O610">
        <v>50</v>
      </c>
      <c r="P610" t="s">
        <v>129</v>
      </c>
      <c r="Q610" t="s">
        <v>671</v>
      </c>
      <c r="R610" s="2">
        <f>Table1[[#This Row],[Global_BoxOfficeUSD]]-Table1[[#This Row],[BudgetUSD]]</f>
        <v>3014446.8700000006</v>
      </c>
      <c r="S610" s="15">
        <f>Table1[[#This Row],[Profit]]/Table1[[#This Row],[BudgetUSD]]</f>
        <v>1.3331648578926474</v>
      </c>
      <c r="T610" t="str">
        <f>IF(Table1[[#This Row],[ROI]]&gt;100%,"Hit","Flop")</f>
        <v>Hit</v>
      </c>
    </row>
    <row r="611" spans="1:20" x14ac:dyDescent="0.3">
      <c r="A611">
        <v>649</v>
      </c>
      <c r="B611" t="s">
        <v>1069</v>
      </c>
      <c r="C611" t="s">
        <v>33</v>
      </c>
      <c r="D611">
        <v>1996</v>
      </c>
      <c r="E611" s="1">
        <v>35132</v>
      </c>
      <c r="F611" t="s">
        <v>249</v>
      </c>
      <c r="G611" s="2">
        <v>1122827.5</v>
      </c>
      <c r="H611" s="2">
        <v>3597352.55</v>
      </c>
      <c r="I611" s="2">
        <v>5244572.76</v>
      </c>
      <c r="J611" s="2">
        <v>547623.9</v>
      </c>
      <c r="K611" s="2">
        <v>2056540.59</v>
      </c>
      <c r="L611">
        <v>7.9</v>
      </c>
      <c r="M611">
        <v>84</v>
      </c>
      <c r="N611">
        <v>1600</v>
      </c>
      <c r="O611">
        <v>489</v>
      </c>
      <c r="P611" t="s">
        <v>20</v>
      </c>
      <c r="Q611" t="s">
        <v>290</v>
      </c>
      <c r="R611" s="2">
        <f>Table1[[#This Row],[Global_BoxOfficeUSD]]-Table1[[#This Row],[BudgetUSD]]</f>
        <v>4121745.26</v>
      </c>
      <c r="S611" s="15">
        <f>Table1[[#This Row],[Profit]]/Table1[[#This Row],[BudgetUSD]]</f>
        <v>3.670862407627173</v>
      </c>
      <c r="T611" t="str">
        <f>IF(Table1[[#This Row],[ROI]]&gt;100%,"Hit","Flop")</f>
        <v>Hit</v>
      </c>
    </row>
    <row r="612" spans="1:20" x14ac:dyDescent="0.3">
      <c r="A612">
        <v>726</v>
      </c>
      <c r="B612" t="s">
        <v>1144</v>
      </c>
      <c r="C612" t="s">
        <v>38</v>
      </c>
      <c r="D612">
        <v>2018</v>
      </c>
      <c r="E612" s="1">
        <v>43393</v>
      </c>
      <c r="F612" t="s">
        <v>23</v>
      </c>
      <c r="G612" s="2">
        <v>1167257.1599999999</v>
      </c>
      <c r="H612" s="2">
        <v>2384112.84</v>
      </c>
      <c r="I612" s="2">
        <v>5240112.0999999996</v>
      </c>
      <c r="J612" s="2">
        <v>314132.71000000002</v>
      </c>
      <c r="K612" s="2">
        <v>971174.18</v>
      </c>
      <c r="L612">
        <v>6.2</v>
      </c>
      <c r="M612">
        <v>58</v>
      </c>
      <c r="N612">
        <v>843</v>
      </c>
      <c r="O612">
        <v>495</v>
      </c>
      <c r="P612" t="s">
        <v>164</v>
      </c>
      <c r="Q612" t="s">
        <v>232</v>
      </c>
      <c r="R612" s="2">
        <f>Table1[[#This Row],[Global_BoxOfficeUSD]]-Table1[[#This Row],[BudgetUSD]]</f>
        <v>4072854.9399999995</v>
      </c>
      <c r="S612" s="15">
        <f>Table1[[#This Row],[Profit]]/Table1[[#This Row],[BudgetUSD]]</f>
        <v>3.4892524797192075</v>
      </c>
      <c r="T612" t="str">
        <f>IF(Table1[[#This Row],[ROI]]&gt;100%,"Hit","Flop")</f>
        <v>Hit</v>
      </c>
    </row>
    <row r="613" spans="1:20" x14ac:dyDescent="0.3">
      <c r="A613">
        <v>258</v>
      </c>
      <c r="B613" t="s">
        <v>583</v>
      </c>
      <c r="C613" t="s">
        <v>38</v>
      </c>
      <c r="D613">
        <v>2002</v>
      </c>
      <c r="E613" s="1">
        <v>37539</v>
      </c>
      <c r="F613" t="s">
        <v>19</v>
      </c>
      <c r="G613" s="2">
        <v>1108375.01</v>
      </c>
      <c r="H613" s="2">
        <v>3569995.74</v>
      </c>
      <c r="I613" s="2">
        <v>5222833.38</v>
      </c>
      <c r="J613" s="2">
        <v>907258.72</v>
      </c>
      <c r="K613" s="2">
        <v>1832485.28</v>
      </c>
      <c r="L613">
        <v>3.5</v>
      </c>
      <c r="M613">
        <v>39</v>
      </c>
      <c r="N613">
        <v>1783</v>
      </c>
      <c r="O613">
        <v>284</v>
      </c>
      <c r="P613" t="s">
        <v>344</v>
      </c>
      <c r="Q613" t="s">
        <v>327</v>
      </c>
      <c r="R613" s="2">
        <f>Table1[[#This Row],[Global_BoxOfficeUSD]]-Table1[[#This Row],[BudgetUSD]]</f>
        <v>4114458.37</v>
      </c>
      <c r="S613" s="15">
        <f>Table1[[#This Row],[Profit]]/Table1[[#This Row],[BudgetUSD]]</f>
        <v>3.712153678022748</v>
      </c>
      <c r="T613" t="str">
        <f>IF(Table1[[#This Row],[ROI]]&gt;100%,"Hit","Flop")</f>
        <v>Hit</v>
      </c>
    </row>
    <row r="614" spans="1:20" x14ac:dyDescent="0.3">
      <c r="A614">
        <v>834</v>
      </c>
      <c r="B614" t="s">
        <v>1252</v>
      </c>
      <c r="C614" t="s">
        <v>38</v>
      </c>
      <c r="D614">
        <v>2013</v>
      </c>
      <c r="E614" s="1">
        <v>41337</v>
      </c>
      <c r="F614" t="s">
        <v>249</v>
      </c>
      <c r="G614" s="2">
        <v>1062186.3999999999</v>
      </c>
      <c r="H614" s="2">
        <v>2491821.41</v>
      </c>
      <c r="I614" s="2">
        <v>5216566.58</v>
      </c>
      <c r="J614" s="2">
        <v>645768.09</v>
      </c>
      <c r="K614" s="2">
        <v>1267316.8700000001</v>
      </c>
      <c r="L614">
        <v>5</v>
      </c>
      <c r="M614">
        <v>54</v>
      </c>
      <c r="N614">
        <v>1360</v>
      </c>
      <c r="O614">
        <v>50</v>
      </c>
      <c r="P614" t="s">
        <v>120</v>
      </c>
      <c r="Q614" t="s">
        <v>787</v>
      </c>
      <c r="R614" s="2">
        <f>Table1[[#This Row],[Global_BoxOfficeUSD]]-Table1[[#This Row],[BudgetUSD]]</f>
        <v>4154380.18</v>
      </c>
      <c r="S614" s="15">
        <f>Table1[[#This Row],[Profit]]/Table1[[#This Row],[BudgetUSD]]</f>
        <v>3.9111592654547267</v>
      </c>
      <c r="T614" t="str">
        <f>IF(Table1[[#This Row],[ROI]]&gt;100%,"Hit","Flop")</f>
        <v>Hit</v>
      </c>
    </row>
    <row r="615" spans="1:20" x14ac:dyDescent="0.3">
      <c r="A615">
        <v>454</v>
      </c>
      <c r="B615" t="s">
        <v>846</v>
      </c>
      <c r="C615" t="s">
        <v>18</v>
      </c>
      <c r="D615">
        <v>1993</v>
      </c>
      <c r="E615" s="1">
        <v>34321</v>
      </c>
      <c r="F615" t="s">
        <v>34</v>
      </c>
      <c r="G615" s="2">
        <v>5211069.09</v>
      </c>
      <c r="H615" s="2">
        <v>3288256.92</v>
      </c>
      <c r="I615" s="2">
        <v>5211069.09</v>
      </c>
      <c r="J615" s="2">
        <v>985095.74</v>
      </c>
      <c r="K615" s="2">
        <v>1622343.98</v>
      </c>
      <c r="L615">
        <v>7.7</v>
      </c>
      <c r="M615">
        <v>57</v>
      </c>
      <c r="N615">
        <v>292</v>
      </c>
      <c r="O615">
        <v>50</v>
      </c>
      <c r="P615" t="s">
        <v>485</v>
      </c>
      <c r="Q615" t="s">
        <v>557</v>
      </c>
      <c r="R615" s="2">
        <f>Table1[[#This Row],[Global_BoxOfficeUSD]]-Table1[[#This Row],[BudgetUSD]]</f>
        <v>0</v>
      </c>
      <c r="S615" s="15">
        <f>Table1[[#This Row],[Profit]]/Table1[[#This Row],[BudgetUSD]]</f>
        <v>0</v>
      </c>
      <c r="T615" t="str">
        <f>IF(Table1[[#This Row],[ROI]]&gt;100%,"Hit","Flop")</f>
        <v>Flop</v>
      </c>
    </row>
    <row r="616" spans="1:20" x14ac:dyDescent="0.3">
      <c r="A616">
        <v>799</v>
      </c>
      <c r="B616" t="s">
        <v>1219</v>
      </c>
      <c r="C616" t="s">
        <v>86</v>
      </c>
      <c r="D616">
        <v>1998</v>
      </c>
      <c r="E616" s="1">
        <v>36008</v>
      </c>
      <c r="F616" t="s">
        <v>23</v>
      </c>
      <c r="G616" s="2">
        <v>2519539.17</v>
      </c>
      <c r="H616" s="2">
        <v>2417156.89</v>
      </c>
      <c r="I616" s="2">
        <v>5167784.67</v>
      </c>
      <c r="J616" s="2">
        <v>478517.34</v>
      </c>
      <c r="K616" s="2">
        <v>1443057.44</v>
      </c>
      <c r="L616">
        <v>8.1999999999999993</v>
      </c>
      <c r="M616">
        <v>76</v>
      </c>
      <c r="N616">
        <v>744</v>
      </c>
      <c r="O616">
        <v>659</v>
      </c>
      <c r="P616" t="s">
        <v>153</v>
      </c>
      <c r="Q616" t="s">
        <v>217</v>
      </c>
      <c r="R616" s="2">
        <f>Table1[[#This Row],[Global_BoxOfficeUSD]]-Table1[[#This Row],[BudgetUSD]]</f>
        <v>2648245.5</v>
      </c>
      <c r="S616" s="15">
        <f>Table1[[#This Row],[Profit]]/Table1[[#This Row],[BudgetUSD]]</f>
        <v>1.0510832820273242</v>
      </c>
      <c r="T616" t="str">
        <f>IF(Table1[[#This Row],[ROI]]&gt;100%,"Hit","Flop")</f>
        <v>Hit</v>
      </c>
    </row>
    <row r="617" spans="1:20" x14ac:dyDescent="0.3">
      <c r="A617">
        <v>519</v>
      </c>
      <c r="B617" t="s">
        <v>926</v>
      </c>
      <c r="C617" t="s">
        <v>67</v>
      </c>
      <c r="D617">
        <v>1975</v>
      </c>
      <c r="E617" s="1">
        <v>27483</v>
      </c>
      <c r="F617" t="s">
        <v>34</v>
      </c>
      <c r="G617" s="2">
        <v>3007061.02</v>
      </c>
      <c r="H617" s="2">
        <v>2548611.06</v>
      </c>
      <c r="I617" s="2">
        <v>5145982.59</v>
      </c>
      <c r="J617" s="2">
        <v>307667.84999999998</v>
      </c>
      <c r="K617" s="2">
        <v>1115305.49</v>
      </c>
      <c r="L617">
        <v>6.3</v>
      </c>
      <c r="M617">
        <v>68</v>
      </c>
      <c r="N617">
        <v>355</v>
      </c>
      <c r="O617">
        <v>4864</v>
      </c>
      <c r="P617" t="s">
        <v>216</v>
      </c>
      <c r="Q617" t="s">
        <v>922</v>
      </c>
      <c r="R617" s="2">
        <f>Table1[[#This Row],[Global_BoxOfficeUSD]]-Table1[[#This Row],[BudgetUSD]]</f>
        <v>2138921.5699999998</v>
      </c>
      <c r="S617" s="15">
        <f>Table1[[#This Row],[Profit]]/Table1[[#This Row],[BudgetUSD]]</f>
        <v>0.71129968955535194</v>
      </c>
      <c r="T617" t="str">
        <f>IF(Table1[[#This Row],[ROI]]&gt;100%,"Hit","Flop")</f>
        <v>Flop</v>
      </c>
    </row>
    <row r="618" spans="1:20" x14ac:dyDescent="0.3">
      <c r="A618">
        <v>692</v>
      </c>
      <c r="B618" t="s">
        <v>710</v>
      </c>
      <c r="C618" t="s">
        <v>45</v>
      </c>
      <c r="D618">
        <v>2002</v>
      </c>
      <c r="E618" s="1">
        <v>37615</v>
      </c>
      <c r="F618" t="s">
        <v>23</v>
      </c>
      <c r="G618" s="2">
        <v>1799190.75</v>
      </c>
      <c r="H618" s="2">
        <v>3556736.33</v>
      </c>
      <c r="I618" s="2">
        <v>5138208.2699999996</v>
      </c>
      <c r="J618" s="2">
        <v>942811.19</v>
      </c>
      <c r="K618" s="2">
        <v>1616433.8</v>
      </c>
      <c r="L618">
        <v>6.6</v>
      </c>
      <c r="M618">
        <v>54</v>
      </c>
      <c r="N618">
        <v>113</v>
      </c>
      <c r="O618">
        <v>4156</v>
      </c>
      <c r="P618" t="s">
        <v>202</v>
      </c>
      <c r="Q618" t="s">
        <v>364</v>
      </c>
      <c r="R618" s="2">
        <f>Table1[[#This Row],[Global_BoxOfficeUSD]]-Table1[[#This Row],[BudgetUSD]]</f>
        <v>3339017.5199999996</v>
      </c>
      <c r="S618" s="15">
        <f>Table1[[#This Row],[Profit]]/Table1[[#This Row],[BudgetUSD]]</f>
        <v>1.8558440899054198</v>
      </c>
      <c r="T618" t="str">
        <f>IF(Table1[[#This Row],[ROI]]&gt;100%,"Hit","Flop")</f>
        <v>Hit</v>
      </c>
    </row>
    <row r="619" spans="1:20" x14ac:dyDescent="0.3">
      <c r="A619">
        <v>373</v>
      </c>
      <c r="B619" t="s">
        <v>738</v>
      </c>
      <c r="C619" t="s">
        <v>18</v>
      </c>
      <c r="D619">
        <v>2020</v>
      </c>
      <c r="E619" s="1">
        <v>43950</v>
      </c>
      <c r="F619" t="s">
        <v>23</v>
      </c>
      <c r="G619" s="2">
        <v>4508046.7</v>
      </c>
      <c r="H619" s="2">
        <v>3355783.51</v>
      </c>
      <c r="I619" s="2">
        <v>5088973.25</v>
      </c>
      <c r="J619" s="2">
        <v>802592.27</v>
      </c>
      <c r="K619" s="2">
        <v>1422181.84</v>
      </c>
      <c r="L619">
        <v>8.9</v>
      </c>
      <c r="M619">
        <v>77</v>
      </c>
      <c r="N619">
        <v>3047</v>
      </c>
      <c r="O619">
        <v>50</v>
      </c>
      <c r="P619" t="s">
        <v>552</v>
      </c>
      <c r="Q619" t="s">
        <v>739</v>
      </c>
      <c r="R619" s="2">
        <f>Table1[[#This Row],[Global_BoxOfficeUSD]]-Table1[[#This Row],[BudgetUSD]]</f>
        <v>580926.54999999981</v>
      </c>
      <c r="S619" s="15">
        <f>Table1[[#This Row],[Profit]]/Table1[[#This Row],[BudgetUSD]]</f>
        <v>0.12886435936877047</v>
      </c>
      <c r="T619" t="str">
        <f>IF(Table1[[#This Row],[ROI]]&gt;100%,"Hit","Flop")</f>
        <v>Flop</v>
      </c>
    </row>
    <row r="620" spans="1:20" x14ac:dyDescent="0.3">
      <c r="A620">
        <v>145</v>
      </c>
      <c r="B620" t="s">
        <v>377</v>
      </c>
      <c r="C620" t="s">
        <v>18</v>
      </c>
      <c r="D620">
        <v>2017</v>
      </c>
      <c r="E620" s="1">
        <v>42808</v>
      </c>
      <c r="F620" t="s">
        <v>23</v>
      </c>
      <c r="G620" s="2">
        <v>4902313.38</v>
      </c>
      <c r="H620" s="2">
        <v>3135864.14</v>
      </c>
      <c r="I620" s="2">
        <v>5063787.33</v>
      </c>
      <c r="J620" s="2">
        <v>550854.59</v>
      </c>
      <c r="K620" s="2">
        <v>1364669.99</v>
      </c>
      <c r="L620">
        <v>4.7</v>
      </c>
      <c r="M620">
        <v>49</v>
      </c>
      <c r="N620">
        <v>1006</v>
      </c>
      <c r="O620">
        <v>547</v>
      </c>
      <c r="P620" t="s">
        <v>212</v>
      </c>
      <c r="Q620" t="s">
        <v>378</v>
      </c>
      <c r="R620" s="2">
        <f>Table1[[#This Row],[Global_BoxOfficeUSD]]-Table1[[#This Row],[BudgetUSD]]</f>
        <v>161473.95000000019</v>
      </c>
      <c r="S620" s="15">
        <f>Table1[[#This Row],[Profit]]/Table1[[#This Row],[BudgetUSD]]</f>
        <v>3.2938316562700076E-2</v>
      </c>
      <c r="T620" t="str">
        <f>IF(Table1[[#This Row],[ROI]]&gt;100%,"Hit","Flop")</f>
        <v>Flop</v>
      </c>
    </row>
    <row r="621" spans="1:20" x14ac:dyDescent="0.3">
      <c r="A621">
        <v>856</v>
      </c>
      <c r="B621" t="s">
        <v>1273</v>
      </c>
      <c r="C621" t="s">
        <v>107</v>
      </c>
      <c r="D621">
        <v>2018</v>
      </c>
      <c r="E621" s="1">
        <v>43185</v>
      </c>
      <c r="F621" t="s">
        <v>23</v>
      </c>
      <c r="G621" s="2">
        <v>2125292.54</v>
      </c>
      <c r="H621" s="2">
        <v>2494832.67</v>
      </c>
      <c r="I621" s="2">
        <v>5028518.9800000004</v>
      </c>
      <c r="J621" s="2">
        <v>333247.92</v>
      </c>
      <c r="K621" s="2">
        <v>1036084.99</v>
      </c>
      <c r="L621">
        <v>7.2</v>
      </c>
      <c r="M621">
        <v>75</v>
      </c>
      <c r="N621">
        <v>14123</v>
      </c>
      <c r="O621">
        <v>4317</v>
      </c>
      <c r="P621" t="s">
        <v>153</v>
      </c>
      <c r="Q621" t="s">
        <v>381</v>
      </c>
      <c r="R621" s="2">
        <f>Table1[[#This Row],[Global_BoxOfficeUSD]]-Table1[[#This Row],[BudgetUSD]]</f>
        <v>2903226.4400000004</v>
      </c>
      <c r="S621" s="15">
        <f>Table1[[#This Row],[Profit]]/Table1[[#This Row],[BudgetUSD]]</f>
        <v>1.366036150486841</v>
      </c>
      <c r="T621" t="str">
        <f>IF(Table1[[#This Row],[ROI]]&gt;100%,"Hit","Flop")</f>
        <v>Hit</v>
      </c>
    </row>
    <row r="622" spans="1:20" x14ac:dyDescent="0.3">
      <c r="A622">
        <v>701</v>
      </c>
      <c r="B622" t="s">
        <v>1120</v>
      </c>
      <c r="C622" t="s">
        <v>107</v>
      </c>
      <c r="D622">
        <v>2005</v>
      </c>
      <c r="E622" s="1">
        <v>38551</v>
      </c>
      <c r="F622" t="s">
        <v>23</v>
      </c>
      <c r="G622" s="2">
        <v>1489279.96</v>
      </c>
      <c r="H622" s="2">
        <v>2866479.62</v>
      </c>
      <c r="I622" s="2">
        <v>5024209.37</v>
      </c>
      <c r="J622" s="2">
        <v>519648.19</v>
      </c>
      <c r="K622" s="2">
        <v>1311368.33</v>
      </c>
      <c r="L622">
        <v>4.5</v>
      </c>
      <c r="M622">
        <v>53</v>
      </c>
      <c r="N622">
        <v>1086</v>
      </c>
      <c r="O622">
        <v>250</v>
      </c>
      <c r="P622" t="s">
        <v>307</v>
      </c>
      <c r="Q622" t="s">
        <v>324</v>
      </c>
      <c r="R622" s="2">
        <f>Table1[[#This Row],[Global_BoxOfficeUSD]]-Table1[[#This Row],[BudgetUSD]]</f>
        <v>3534929.41</v>
      </c>
      <c r="S622" s="15">
        <f>Table1[[#This Row],[Profit]]/Table1[[#This Row],[BudgetUSD]]</f>
        <v>2.3735828755796864</v>
      </c>
      <c r="T622" t="str">
        <f>IF(Table1[[#This Row],[ROI]]&gt;100%,"Hit","Flop")</f>
        <v>Hit</v>
      </c>
    </row>
    <row r="623" spans="1:20" x14ac:dyDescent="0.3">
      <c r="A623">
        <v>668</v>
      </c>
      <c r="B623" t="s">
        <v>1089</v>
      </c>
      <c r="C623" t="s">
        <v>107</v>
      </c>
      <c r="D623">
        <v>1969</v>
      </c>
      <c r="E623" s="1">
        <v>25529</v>
      </c>
      <c r="F623" t="s">
        <v>23</v>
      </c>
      <c r="G623" s="2">
        <v>5009383.78</v>
      </c>
      <c r="H623" s="2">
        <v>3183151.72</v>
      </c>
      <c r="I623" s="2">
        <v>5009383.78</v>
      </c>
      <c r="J623" s="2">
        <v>783713.4</v>
      </c>
      <c r="K623" s="2">
        <v>1450836.78</v>
      </c>
      <c r="L623">
        <v>8.4</v>
      </c>
      <c r="M623">
        <v>85</v>
      </c>
      <c r="N623">
        <v>32581</v>
      </c>
      <c r="O623">
        <v>447</v>
      </c>
      <c r="P623" t="s">
        <v>87</v>
      </c>
      <c r="Q623" t="s">
        <v>159</v>
      </c>
      <c r="R623" s="2">
        <f>Table1[[#This Row],[Global_BoxOfficeUSD]]-Table1[[#This Row],[BudgetUSD]]</f>
        <v>0</v>
      </c>
      <c r="S623" s="15">
        <f>Table1[[#This Row],[Profit]]/Table1[[#This Row],[BudgetUSD]]</f>
        <v>0</v>
      </c>
      <c r="T623" t="str">
        <f>IF(Table1[[#This Row],[ROI]]&gt;100%,"Hit","Flop")</f>
        <v>Flop</v>
      </c>
    </row>
    <row r="624" spans="1:20" x14ac:dyDescent="0.3">
      <c r="A624">
        <v>92</v>
      </c>
      <c r="B624" t="s">
        <v>270</v>
      </c>
      <c r="C624" t="s">
        <v>86</v>
      </c>
      <c r="D624">
        <v>1991</v>
      </c>
      <c r="E624" s="1">
        <v>33258</v>
      </c>
      <c r="F624" t="s">
        <v>23</v>
      </c>
      <c r="G624" s="2">
        <v>1702153.01</v>
      </c>
      <c r="H624" s="2">
        <v>3195665.91</v>
      </c>
      <c r="I624" s="2">
        <v>4966959.55</v>
      </c>
      <c r="J624" s="2">
        <v>460840.71</v>
      </c>
      <c r="K624" s="2">
        <v>1608400.86</v>
      </c>
      <c r="L624">
        <v>8.5</v>
      </c>
      <c r="M624">
        <v>83</v>
      </c>
      <c r="N624">
        <v>8090</v>
      </c>
      <c r="O624">
        <v>18542</v>
      </c>
      <c r="P624" t="s">
        <v>271</v>
      </c>
      <c r="Q624" t="s">
        <v>272</v>
      </c>
      <c r="R624" s="2">
        <f>Table1[[#This Row],[Global_BoxOfficeUSD]]-Table1[[#This Row],[BudgetUSD]]</f>
        <v>3264806.54</v>
      </c>
      <c r="S624" s="15">
        <f>Table1[[#This Row],[Profit]]/Table1[[#This Row],[BudgetUSD]]</f>
        <v>1.9180452760824362</v>
      </c>
      <c r="T624" t="str">
        <f>IF(Table1[[#This Row],[ROI]]&gt;100%,"Hit","Flop")</f>
        <v>Hit</v>
      </c>
    </row>
    <row r="625" spans="1:20" x14ac:dyDescent="0.3">
      <c r="A625">
        <v>899</v>
      </c>
      <c r="B625" t="s">
        <v>67</v>
      </c>
      <c r="C625" t="s">
        <v>67</v>
      </c>
      <c r="D625">
        <v>2014</v>
      </c>
      <c r="E625" s="1">
        <v>41747</v>
      </c>
      <c r="F625" t="s">
        <v>23</v>
      </c>
      <c r="G625" s="2">
        <v>3788455.58</v>
      </c>
      <c r="H625" s="2">
        <v>3331486.68</v>
      </c>
      <c r="I625" s="2">
        <v>4948206.9000000004</v>
      </c>
      <c r="J625" s="2">
        <v>920762.38</v>
      </c>
      <c r="K625" s="2">
        <v>1604411.54</v>
      </c>
      <c r="L625">
        <v>8.6</v>
      </c>
      <c r="M625">
        <v>94</v>
      </c>
      <c r="N625">
        <v>203</v>
      </c>
      <c r="O625">
        <v>122</v>
      </c>
      <c r="P625" t="s">
        <v>133</v>
      </c>
      <c r="Q625" t="s">
        <v>616</v>
      </c>
      <c r="R625" s="2">
        <f>Table1[[#This Row],[Global_BoxOfficeUSD]]-Table1[[#This Row],[BudgetUSD]]</f>
        <v>1159751.3200000003</v>
      </c>
      <c r="S625" s="15">
        <f>Table1[[#This Row],[Profit]]/Table1[[#This Row],[BudgetUSD]]</f>
        <v>0.30612773345490835</v>
      </c>
      <c r="T625" t="str">
        <f>IF(Table1[[#This Row],[ROI]]&gt;100%,"Hit","Flop")</f>
        <v>Flop</v>
      </c>
    </row>
    <row r="626" spans="1:20" x14ac:dyDescent="0.3">
      <c r="A626">
        <v>483</v>
      </c>
      <c r="B626" t="s">
        <v>881</v>
      </c>
      <c r="C626" t="s">
        <v>38</v>
      </c>
      <c r="D626">
        <v>2015</v>
      </c>
      <c r="E626" s="1">
        <v>42253</v>
      </c>
      <c r="F626" t="s">
        <v>23</v>
      </c>
      <c r="G626" s="2">
        <v>1253850.72</v>
      </c>
      <c r="H626" s="2">
        <v>2117559.33</v>
      </c>
      <c r="I626" s="2">
        <v>4907587.46</v>
      </c>
      <c r="J626" s="2">
        <v>255341.83</v>
      </c>
      <c r="K626" s="2">
        <v>1049518.31</v>
      </c>
      <c r="L626">
        <v>7.1</v>
      </c>
      <c r="M626">
        <v>65</v>
      </c>
      <c r="N626">
        <v>20741</v>
      </c>
      <c r="O626">
        <v>161</v>
      </c>
      <c r="P626" t="s">
        <v>490</v>
      </c>
      <c r="Q626" t="s">
        <v>882</v>
      </c>
      <c r="R626" s="2">
        <f>Table1[[#This Row],[Global_BoxOfficeUSD]]-Table1[[#This Row],[BudgetUSD]]</f>
        <v>3653736.74</v>
      </c>
      <c r="S626" s="15">
        <f>Table1[[#This Row],[Profit]]/Table1[[#This Row],[BudgetUSD]]</f>
        <v>2.9140125548598004</v>
      </c>
      <c r="T626" t="str">
        <f>IF(Table1[[#This Row],[ROI]]&gt;100%,"Hit","Flop")</f>
        <v>Hit</v>
      </c>
    </row>
    <row r="627" spans="1:20" x14ac:dyDescent="0.3">
      <c r="A627">
        <v>824</v>
      </c>
      <c r="B627" s="14" t="s">
        <v>1241</v>
      </c>
      <c r="C627" t="s">
        <v>18</v>
      </c>
      <c r="D627">
        <v>1962</v>
      </c>
      <c r="E627" s="1">
        <v>22652</v>
      </c>
      <c r="F627" t="s">
        <v>139</v>
      </c>
      <c r="G627" s="2">
        <v>1224212.81</v>
      </c>
      <c r="H627" s="2">
        <v>2891704.71</v>
      </c>
      <c r="I627" s="2">
        <v>4890137.17</v>
      </c>
      <c r="J627" s="2">
        <v>565298.25</v>
      </c>
      <c r="K627" s="2">
        <v>1276511.52</v>
      </c>
      <c r="L627">
        <v>1.9</v>
      </c>
      <c r="M627">
        <v>28</v>
      </c>
      <c r="N627">
        <v>3259</v>
      </c>
      <c r="O627">
        <v>2747</v>
      </c>
      <c r="P627" t="s">
        <v>49</v>
      </c>
      <c r="Q627" t="s">
        <v>607</v>
      </c>
      <c r="R627" s="2">
        <f>Table1[[#This Row],[Global_BoxOfficeUSD]]-Table1[[#This Row],[BudgetUSD]]</f>
        <v>3665924.36</v>
      </c>
      <c r="S627" s="15">
        <f>Table1[[#This Row],[Profit]]/Table1[[#This Row],[BudgetUSD]]</f>
        <v>2.9945156022342223</v>
      </c>
      <c r="T627" t="str">
        <f>IF(Table1[[#This Row],[ROI]]&gt;100%,"Hit","Flop")</f>
        <v>Hit</v>
      </c>
    </row>
    <row r="628" spans="1:20" x14ac:dyDescent="0.3">
      <c r="A628">
        <v>485</v>
      </c>
      <c r="B628" t="s">
        <v>884</v>
      </c>
      <c r="C628" t="s">
        <v>45</v>
      </c>
      <c r="D628">
        <v>1989</v>
      </c>
      <c r="E628" s="1">
        <v>32749</v>
      </c>
      <c r="F628" t="s">
        <v>23</v>
      </c>
      <c r="G628" s="2">
        <v>979584.82</v>
      </c>
      <c r="H628" s="2">
        <v>2566246.5499999998</v>
      </c>
      <c r="I628" s="2">
        <v>4862466.2699999996</v>
      </c>
      <c r="J628" s="2">
        <v>563675.30000000005</v>
      </c>
      <c r="K628" s="2">
        <v>1281461.57</v>
      </c>
      <c r="L628">
        <v>9</v>
      </c>
      <c r="M628">
        <v>100</v>
      </c>
      <c r="N628">
        <v>22571</v>
      </c>
      <c r="O628">
        <v>765</v>
      </c>
      <c r="P628" t="s">
        <v>458</v>
      </c>
      <c r="Q628" t="s">
        <v>885</v>
      </c>
      <c r="R628" s="2">
        <f>Table1[[#This Row],[Global_BoxOfficeUSD]]-Table1[[#This Row],[BudgetUSD]]</f>
        <v>3882881.4499999997</v>
      </c>
      <c r="S628" s="15">
        <f>Table1[[#This Row],[Profit]]/Table1[[#This Row],[BudgetUSD]]</f>
        <v>3.9638032059337136</v>
      </c>
      <c r="T628" t="str">
        <f>IF(Table1[[#This Row],[ROI]]&gt;100%,"Hit","Flop")</f>
        <v>Hit</v>
      </c>
    </row>
    <row r="629" spans="1:20" x14ac:dyDescent="0.3">
      <c r="A629">
        <v>918</v>
      </c>
      <c r="B629" t="s">
        <v>1327</v>
      </c>
      <c r="C629" t="s">
        <v>86</v>
      </c>
      <c r="D629">
        <v>2008</v>
      </c>
      <c r="E629" s="1">
        <v>39708</v>
      </c>
      <c r="F629" t="s">
        <v>19</v>
      </c>
      <c r="G629" s="2">
        <v>998816.36</v>
      </c>
      <c r="H629" s="2">
        <v>2932489.5</v>
      </c>
      <c r="I629" s="2">
        <v>4819370.53</v>
      </c>
      <c r="J629" s="2">
        <v>849923.39</v>
      </c>
      <c r="K629" s="2">
        <v>1650928.15</v>
      </c>
      <c r="L629">
        <v>3.4</v>
      </c>
      <c r="M629">
        <v>40</v>
      </c>
      <c r="N629">
        <v>1906</v>
      </c>
      <c r="O629">
        <v>124</v>
      </c>
      <c r="P629" t="s">
        <v>344</v>
      </c>
      <c r="Q629" t="s">
        <v>557</v>
      </c>
      <c r="R629" s="2">
        <f>Table1[[#This Row],[Global_BoxOfficeUSD]]-Table1[[#This Row],[BudgetUSD]]</f>
        <v>3820554.1700000004</v>
      </c>
      <c r="S629" s="15">
        <f>Table1[[#This Row],[Profit]]/Table1[[#This Row],[BudgetUSD]]</f>
        <v>3.8250816896911863</v>
      </c>
      <c r="T629" t="str">
        <f>IF(Table1[[#This Row],[ROI]]&gt;100%,"Hit","Flop")</f>
        <v>Hit</v>
      </c>
    </row>
    <row r="630" spans="1:20" x14ac:dyDescent="0.3">
      <c r="A630">
        <v>456</v>
      </c>
      <c r="B630" t="s">
        <v>848</v>
      </c>
      <c r="C630" t="s">
        <v>33</v>
      </c>
      <c r="D630">
        <v>1996</v>
      </c>
      <c r="E630" s="1">
        <v>35291</v>
      </c>
      <c r="F630" t="s">
        <v>23</v>
      </c>
      <c r="G630" s="2">
        <v>1085567.29</v>
      </c>
      <c r="H630" s="2">
        <v>2092094.61</v>
      </c>
      <c r="I630" s="2">
        <v>4767779.3099999996</v>
      </c>
      <c r="J630" s="2">
        <v>402114.3</v>
      </c>
      <c r="K630" s="2">
        <v>964184.36</v>
      </c>
      <c r="L630">
        <v>6.6</v>
      </c>
      <c r="M630">
        <v>81</v>
      </c>
      <c r="N630">
        <v>2052</v>
      </c>
      <c r="O630">
        <v>84</v>
      </c>
      <c r="P630" t="s">
        <v>268</v>
      </c>
      <c r="Q630" t="s">
        <v>154</v>
      </c>
      <c r="R630" s="2">
        <f>Table1[[#This Row],[Global_BoxOfficeUSD]]-Table1[[#This Row],[BudgetUSD]]</f>
        <v>3682212.0199999996</v>
      </c>
      <c r="S630" s="15">
        <f>Table1[[#This Row],[Profit]]/Table1[[#This Row],[BudgetUSD]]</f>
        <v>3.3919703125911242</v>
      </c>
      <c r="T630" t="str">
        <f>IF(Table1[[#This Row],[ROI]]&gt;100%,"Hit","Flop")</f>
        <v>Hit</v>
      </c>
    </row>
    <row r="631" spans="1:20" x14ac:dyDescent="0.3">
      <c r="A631">
        <v>780</v>
      </c>
      <c r="B631" t="s">
        <v>1201</v>
      </c>
      <c r="C631" t="s">
        <v>77</v>
      </c>
      <c r="D631">
        <v>2019</v>
      </c>
      <c r="E631" s="1">
        <v>43663</v>
      </c>
      <c r="F631" t="s">
        <v>23</v>
      </c>
      <c r="G631" s="2">
        <v>1007883</v>
      </c>
      <c r="H631" s="2">
        <v>3237500.96</v>
      </c>
      <c r="I631" s="2">
        <v>4754327.58</v>
      </c>
      <c r="J631" s="2">
        <v>328896.65999999997</v>
      </c>
      <c r="K631" s="2">
        <v>1748158.64</v>
      </c>
      <c r="L631">
        <v>8.3000000000000007</v>
      </c>
      <c r="M631">
        <v>96</v>
      </c>
      <c r="N631">
        <v>16523</v>
      </c>
      <c r="O631">
        <v>50</v>
      </c>
      <c r="P631" t="s">
        <v>83</v>
      </c>
      <c r="Q631" t="s">
        <v>705</v>
      </c>
      <c r="R631" s="2">
        <f>Table1[[#This Row],[Global_BoxOfficeUSD]]-Table1[[#This Row],[BudgetUSD]]</f>
        <v>3746444.58</v>
      </c>
      <c r="S631" s="15">
        <f>Table1[[#This Row],[Profit]]/Table1[[#This Row],[BudgetUSD]]</f>
        <v>3.7171423468795486</v>
      </c>
      <c r="T631" t="str">
        <f>IF(Table1[[#This Row],[ROI]]&gt;100%,"Hit","Flop")</f>
        <v>Hit</v>
      </c>
    </row>
    <row r="632" spans="1:20" x14ac:dyDescent="0.3">
      <c r="A632">
        <v>13</v>
      </c>
      <c r="B632" t="s">
        <v>60</v>
      </c>
      <c r="C632" t="s">
        <v>38</v>
      </c>
      <c r="D632">
        <v>1984</v>
      </c>
      <c r="E632" s="1">
        <v>30881</v>
      </c>
      <c r="F632" t="s">
        <v>23</v>
      </c>
      <c r="G632" s="2">
        <v>3474516.1</v>
      </c>
      <c r="H632" s="2">
        <v>1921326.86</v>
      </c>
      <c r="I632" s="2">
        <v>4720393.32</v>
      </c>
      <c r="J632" s="2">
        <v>264115.44</v>
      </c>
      <c r="K632" s="2">
        <v>834339.97</v>
      </c>
      <c r="L632">
        <v>4.4000000000000004</v>
      </c>
      <c r="M632">
        <v>43</v>
      </c>
      <c r="N632">
        <v>23965</v>
      </c>
      <c r="O632">
        <v>445</v>
      </c>
      <c r="P632" t="s">
        <v>61</v>
      </c>
      <c r="Q632" t="s">
        <v>62</v>
      </c>
      <c r="R632" s="2">
        <f>Table1[[#This Row],[Global_BoxOfficeUSD]]-Table1[[#This Row],[BudgetUSD]]</f>
        <v>1245877.2200000002</v>
      </c>
      <c r="S632" s="15">
        <f>Table1[[#This Row],[Profit]]/Table1[[#This Row],[BudgetUSD]]</f>
        <v>0.35857575102328643</v>
      </c>
      <c r="T632" t="str">
        <f>IF(Table1[[#This Row],[ROI]]&gt;100%,"Hit","Flop")</f>
        <v>Flop</v>
      </c>
    </row>
    <row r="633" spans="1:20" x14ac:dyDescent="0.3">
      <c r="A633">
        <v>293</v>
      </c>
      <c r="B633" t="s">
        <v>631</v>
      </c>
      <c r="C633" t="s">
        <v>67</v>
      </c>
      <c r="D633">
        <v>1976</v>
      </c>
      <c r="E633" s="1">
        <v>27854</v>
      </c>
      <c r="F633" t="s">
        <v>23</v>
      </c>
      <c r="G633" s="2">
        <v>998778.71</v>
      </c>
      <c r="H633" s="2">
        <v>2209134.7799999998</v>
      </c>
      <c r="I633" s="2">
        <v>4702379.87</v>
      </c>
      <c r="J633" s="2">
        <v>411545.12</v>
      </c>
      <c r="K633" s="2">
        <v>1023491.76</v>
      </c>
      <c r="L633">
        <v>6.2</v>
      </c>
      <c r="M633">
        <v>64</v>
      </c>
      <c r="N633">
        <v>4716</v>
      </c>
      <c r="O633">
        <v>215</v>
      </c>
      <c r="P633" t="s">
        <v>530</v>
      </c>
      <c r="Q633" t="s">
        <v>324</v>
      </c>
      <c r="R633" s="2">
        <f>Table1[[#This Row],[Global_BoxOfficeUSD]]-Table1[[#This Row],[BudgetUSD]]</f>
        <v>3703601.16</v>
      </c>
      <c r="S633" s="15">
        <f>Table1[[#This Row],[Profit]]/Table1[[#This Row],[BudgetUSD]]</f>
        <v>3.7081298619190632</v>
      </c>
      <c r="T633" t="str">
        <f>IF(Table1[[#This Row],[ROI]]&gt;100%,"Hit","Flop")</f>
        <v>Hit</v>
      </c>
    </row>
    <row r="634" spans="1:20" x14ac:dyDescent="0.3">
      <c r="A634">
        <v>42</v>
      </c>
      <c r="B634" t="s">
        <v>145</v>
      </c>
      <c r="C634" t="s">
        <v>107</v>
      </c>
      <c r="D634">
        <v>2009</v>
      </c>
      <c r="E634" s="1">
        <v>39964</v>
      </c>
      <c r="F634" t="s">
        <v>139</v>
      </c>
      <c r="G634" s="2">
        <v>1340364.3700000001</v>
      </c>
      <c r="H634" s="2">
        <v>2832081.13</v>
      </c>
      <c r="I634" s="2">
        <v>4692308.66</v>
      </c>
      <c r="J634" s="2">
        <v>759063.94</v>
      </c>
      <c r="K634" s="2">
        <v>1227524.1399999999</v>
      </c>
      <c r="L634">
        <v>8.4</v>
      </c>
      <c r="M634">
        <v>80</v>
      </c>
      <c r="N634">
        <v>3000</v>
      </c>
      <c r="O634">
        <v>73</v>
      </c>
      <c r="P634" t="s">
        <v>146</v>
      </c>
      <c r="Q634" t="s">
        <v>147</v>
      </c>
      <c r="R634" s="2">
        <f>Table1[[#This Row],[Global_BoxOfficeUSD]]-Table1[[#This Row],[BudgetUSD]]</f>
        <v>3351944.29</v>
      </c>
      <c r="S634" s="15">
        <f>Table1[[#This Row],[Profit]]/Table1[[#This Row],[BudgetUSD]]</f>
        <v>2.500770958273085</v>
      </c>
      <c r="T634" t="str">
        <f>IF(Table1[[#This Row],[ROI]]&gt;100%,"Hit","Flop")</f>
        <v>Hit</v>
      </c>
    </row>
    <row r="635" spans="1:20" x14ac:dyDescent="0.3">
      <c r="A635">
        <v>560</v>
      </c>
      <c r="B635" t="s">
        <v>330</v>
      </c>
      <c r="C635" t="s">
        <v>77</v>
      </c>
      <c r="D635">
        <v>2022</v>
      </c>
      <c r="E635" s="1">
        <v>44820</v>
      </c>
      <c r="F635" t="s">
        <v>642</v>
      </c>
      <c r="G635" s="2">
        <v>1202565.8600000001</v>
      </c>
      <c r="H635" s="2">
        <v>2263004.35</v>
      </c>
      <c r="I635" s="2">
        <v>4644406.6100000003</v>
      </c>
      <c r="J635" s="2">
        <v>409359.38</v>
      </c>
      <c r="K635" s="2">
        <v>1128010.8600000001</v>
      </c>
      <c r="L635">
        <v>5.2</v>
      </c>
      <c r="M635">
        <v>55</v>
      </c>
      <c r="N635">
        <v>4056</v>
      </c>
      <c r="O635">
        <v>554</v>
      </c>
      <c r="P635" t="s">
        <v>337</v>
      </c>
      <c r="Q635" t="s">
        <v>414</v>
      </c>
      <c r="R635" s="2">
        <f>Table1[[#This Row],[Global_BoxOfficeUSD]]-Table1[[#This Row],[BudgetUSD]]</f>
        <v>3441840.75</v>
      </c>
      <c r="S635" s="15">
        <f>Table1[[#This Row],[Profit]]/Table1[[#This Row],[BudgetUSD]]</f>
        <v>2.8620808759696534</v>
      </c>
      <c r="T635" t="str">
        <f>IF(Table1[[#This Row],[ROI]]&gt;100%,"Hit","Flop")</f>
        <v>Hit</v>
      </c>
    </row>
    <row r="636" spans="1:20" x14ac:dyDescent="0.3">
      <c r="A636">
        <v>762</v>
      </c>
      <c r="B636" t="s">
        <v>1183</v>
      </c>
      <c r="C636" t="s">
        <v>18</v>
      </c>
      <c r="D636">
        <v>1956</v>
      </c>
      <c r="E636" s="1">
        <v>20656</v>
      </c>
      <c r="F636" t="s">
        <v>23</v>
      </c>
      <c r="G636" s="2">
        <v>2245405.48</v>
      </c>
      <c r="H636" s="2">
        <v>2389017.2000000002</v>
      </c>
      <c r="I636" s="2">
        <v>4605075.96</v>
      </c>
      <c r="J636" s="2">
        <v>289920.51</v>
      </c>
      <c r="K636" s="2">
        <v>1298101.58</v>
      </c>
      <c r="L636">
        <v>6.2</v>
      </c>
      <c r="M636">
        <v>62</v>
      </c>
      <c r="N636">
        <v>160</v>
      </c>
      <c r="O636">
        <v>2930</v>
      </c>
      <c r="P636" t="s">
        <v>35</v>
      </c>
      <c r="Q636" t="s">
        <v>414</v>
      </c>
      <c r="R636" s="2">
        <f>Table1[[#This Row],[Global_BoxOfficeUSD]]-Table1[[#This Row],[BudgetUSD]]</f>
        <v>2359670.48</v>
      </c>
      <c r="S636" s="15">
        <f>Table1[[#This Row],[Profit]]/Table1[[#This Row],[BudgetUSD]]</f>
        <v>1.0508883589257116</v>
      </c>
      <c r="T636" t="str">
        <f>IF(Table1[[#This Row],[ROI]]&gt;100%,"Hit","Flop")</f>
        <v>Hit</v>
      </c>
    </row>
    <row r="637" spans="1:20" x14ac:dyDescent="0.3">
      <c r="A637">
        <v>722</v>
      </c>
      <c r="B637" t="s">
        <v>1140</v>
      </c>
      <c r="C637" t="s">
        <v>67</v>
      </c>
      <c r="D637">
        <v>2004</v>
      </c>
      <c r="E637" s="1">
        <v>38023</v>
      </c>
      <c r="F637" t="s">
        <v>23</v>
      </c>
      <c r="G637" s="2">
        <v>4597759.7300000004</v>
      </c>
      <c r="H637" s="2">
        <v>2841751.52</v>
      </c>
      <c r="I637" s="2">
        <v>4597759.7300000004</v>
      </c>
      <c r="J637" s="2">
        <v>808392.46</v>
      </c>
      <c r="K637" s="2">
        <v>1295255.6299999999</v>
      </c>
      <c r="L637">
        <v>4.5999999999999996</v>
      </c>
      <c r="M637">
        <v>47</v>
      </c>
      <c r="N637">
        <v>424</v>
      </c>
      <c r="O637">
        <v>1378</v>
      </c>
      <c r="P637" t="s">
        <v>87</v>
      </c>
      <c r="Q637" t="s">
        <v>512</v>
      </c>
      <c r="R637" s="2">
        <f>Table1[[#This Row],[Global_BoxOfficeUSD]]-Table1[[#This Row],[BudgetUSD]]</f>
        <v>0</v>
      </c>
      <c r="S637" s="15">
        <f>Table1[[#This Row],[Profit]]/Table1[[#This Row],[BudgetUSD]]</f>
        <v>0</v>
      </c>
      <c r="T637" t="str">
        <f>IF(Table1[[#This Row],[ROI]]&gt;100%,"Hit","Flop")</f>
        <v>Flop</v>
      </c>
    </row>
    <row r="638" spans="1:20" x14ac:dyDescent="0.3">
      <c r="A638">
        <v>943</v>
      </c>
      <c r="B638" t="s">
        <v>1352</v>
      </c>
      <c r="C638" t="s">
        <v>86</v>
      </c>
      <c r="D638">
        <v>2023</v>
      </c>
      <c r="E638" s="1">
        <v>45137</v>
      </c>
      <c r="F638" t="s">
        <v>23</v>
      </c>
      <c r="G638" s="2">
        <v>1350409.46</v>
      </c>
      <c r="H638" s="2">
        <v>2540791.7599999998</v>
      </c>
      <c r="I638" s="2">
        <v>4565263.62</v>
      </c>
      <c r="J638" s="2">
        <v>649357.44999999995</v>
      </c>
      <c r="K638" s="2">
        <v>1365670</v>
      </c>
      <c r="L638">
        <v>7.1</v>
      </c>
      <c r="M638">
        <v>64</v>
      </c>
      <c r="N638">
        <v>3059</v>
      </c>
      <c r="O638">
        <v>132</v>
      </c>
      <c r="P638" t="s">
        <v>666</v>
      </c>
      <c r="Q638" t="s">
        <v>712</v>
      </c>
      <c r="R638" s="2">
        <f>Table1[[#This Row],[Global_BoxOfficeUSD]]-Table1[[#This Row],[BudgetUSD]]</f>
        <v>3214854.16</v>
      </c>
      <c r="S638" s="15">
        <f>Table1[[#This Row],[Profit]]/Table1[[#This Row],[BudgetUSD]]</f>
        <v>2.3806513914675924</v>
      </c>
      <c r="T638" t="str">
        <f>IF(Table1[[#This Row],[ROI]]&gt;100%,"Hit","Flop")</f>
        <v>Hit</v>
      </c>
    </row>
    <row r="639" spans="1:20" x14ac:dyDescent="0.3">
      <c r="A639">
        <v>786</v>
      </c>
      <c r="B639" t="s">
        <v>1206</v>
      </c>
      <c r="C639" t="s">
        <v>38</v>
      </c>
      <c r="D639">
        <v>1985</v>
      </c>
      <c r="E639" s="1">
        <v>31068</v>
      </c>
      <c r="F639" t="s">
        <v>23</v>
      </c>
      <c r="G639" s="2">
        <v>2075161.11</v>
      </c>
      <c r="H639" s="2">
        <v>2895681.85</v>
      </c>
      <c r="I639" s="2">
        <v>4558914.9400000004</v>
      </c>
      <c r="J639" s="2">
        <v>705131.97</v>
      </c>
      <c r="K639" s="2">
        <v>1620752.59</v>
      </c>
      <c r="L639">
        <v>6.2</v>
      </c>
      <c r="M639">
        <v>58</v>
      </c>
      <c r="N639">
        <v>3072</v>
      </c>
      <c r="O639">
        <v>5363</v>
      </c>
      <c r="P639" t="s">
        <v>596</v>
      </c>
      <c r="Q639" t="s">
        <v>112</v>
      </c>
      <c r="R639" s="2">
        <f>Table1[[#This Row],[Global_BoxOfficeUSD]]-Table1[[#This Row],[BudgetUSD]]</f>
        <v>2483753.83</v>
      </c>
      <c r="S639" s="15">
        <f>Table1[[#This Row],[Profit]]/Table1[[#This Row],[BudgetUSD]]</f>
        <v>1.1968968664799235</v>
      </c>
      <c r="T639" t="str">
        <f>IF(Table1[[#This Row],[ROI]]&gt;100%,"Hit","Flop")</f>
        <v>Hit</v>
      </c>
    </row>
    <row r="640" spans="1:20" x14ac:dyDescent="0.3">
      <c r="A640">
        <v>717</v>
      </c>
      <c r="B640" t="s">
        <v>1136</v>
      </c>
      <c r="C640" t="s">
        <v>38</v>
      </c>
      <c r="D640">
        <v>2020</v>
      </c>
      <c r="E640" s="1">
        <v>44149</v>
      </c>
      <c r="F640" t="s">
        <v>23</v>
      </c>
      <c r="G640" s="2">
        <v>4544200.42</v>
      </c>
      <c r="H640" s="2">
        <v>2241306.38</v>
      </c>
      <c r="I640" s="2">
        <v>4544200.42</v>
      </c>
      <c r="J640" s="2">
        <v>299103.89</v>
      </c>
      <c r="K640" s="2">
        <v>1085766.6599999999</v>
      </c>
      <c r="L640">
        <v>7.1</v>
      </c>
      <c r="M640">
        <v>73</v>
      </c>
      <c r="N640">
        <v>4834</v>
      </c>
      <c r="O640">
        <v>82</v>
      </c>
      <c r="P640" t="s">
        <v>149</v>
      </c>
      <c r="Q640" t="s">
        <v>1112</v>
      </c>
      <c r="R640" s="2">
        <f>Table1[[#This Row],[Global_BoxOfficeUSD]]-Table1[[#This Row],[BudgetUSD]]</f>
        <v>0</v>
      </c>
      <c r="S640" s="15">
        <f>Table1[[#This Row],[Profit]]/Table1[[#This Row],[BudgetUSD]]</f>
        <v>0</v>
      </c>
      <c r="T640" t="str">
        <f>IF(Table1[[#This Row],[ROI]]&gt;100%,"Hit","Flop")</f>
        <v>Flop</v>
      </c>
    </row>
    <row r="641" spans="1:20" x14ac:dyDescent="0.3">
      <c r="A641">
        <v>776</v>
      </c>
      <c r="B641" t="s">
        <v>1197</v>
      </c>
      <c r="C641" t="s">
        <v>107</v>
      </c>
      <c r="D641">
        <v>2013</v>
      </c>
      <c r="E641" s="1">
        <v>41328</v>
      </c>
      <c r="F641" t="s">
        <v>23</v>
      </c>
      <c r="G641" s="2">
        <v>1196620.74</v>
      </c>
      <c r="H641" s="2">
        <v>2534926.15</v>
      </c>
      <c r="I641" s="2">
        <v>4510319.2699999996</v>
      </c>
      <c r="J641" s="2">
        <v>317910.19</v>
      </c>
      <c r="K641" s="2">
        <v>1237148.69</v>
      </c>
      <c r="L641">
        <v>6.7</v>
      </c>
      <c r="M641">
        <v>85</v>
      </c>
      <c r="N641">
        <v>1852</v>
      </c>
      <c r="O641">
        <v>8220</v>
      </c>
      <c r="P641" t="s">
        <v>458</v>
      </c>
      <c r="Q641" t="s">
        <v>696</v>
      </c>
      <c r="R641" s="2">
        <f>Table1[[#This Row],[Global_BoxOfficeUSD]]-Table1[[#This Row],[BudgetUSD]]</f>
        <v>3313698.5299999993</v>
      </c>
      <c r="S641" s="15">
        <f>Table1[[#This Row],[Profit]]/Table1[[#This Row],[BudgetUSD]]</f>
        <v>2.7692136858667511</v>
      </c>
      <c r="T641" t="str">
        <f>IF(Table1[[#This Row],[ROI]]&gt;100%,"Hit","Flop")</f>
        <v>Hit</v>
      </c>
    </row>
    <row r="642" spans="1:20" x14ac:dyDescent="0.3">
      <c r="A642">
        <v>27</v>
      </c>
      <c r="B642" t="s">
        <v>101</v>
      </c>
      <c r="C642" t="s">
        <v>38</v>
      </c>
      <c r="D642">
        <v>1970</v>
      </c>
      <c r="E642" s="1">
        <v>25704</v>
      </c>
      <c r="F642" t="s">
        <v>23</v>
      </c>
      <c r="G642" s="2">
        <v>2024799.03</v>
      </c>
      <c r="H642" s="2">
        <v>3120803.68</v>
      </c>
      <c r="I642" s="2">
        <v>4506880.5199999996</v>
      </c>
      <c r="J642" s="2">
        <v>374038.96</v>
      </c>
      <c r="K642" s="2">
        <v>1256605.58</v>
      </c>
      <c r="L642">
        <v>6.9</v>
      </c>
      <c r="M642">
        <v>93</v>
      </c>
      <c r="N642">
        <v>1446</v>
      </c>
      <c r="O642">
        <v>216</v>
      </c>
      <c r="P642" t="s">
        <v>102</v>
      </c>
      <c r="Q642" t="s">
        <v>103</v>
      </c>
      <c r="R642" s="2">
        <f>Table1[[#This Row],[Global_BoxOfficeUSD]]-Table1[[#This Row],[BudgetUSD]]</f>
        <v>2482081.4899999993</v>
      </c>
      <c r="S642" s="15">
        <f>Table1[[#This Row],[Profit]]/Table1[[#This Row],[BudgetUSD]]</f>
        <v>1.2258409122212979</v>
      </c>
      <c r="T642" t="str">
        <f>IF(Table1[[#This Row],[ROI]]&gt;100%,"Hit","Flop")</f>
        <v>Hit</v>
      </c>
    </row>
    <row r="643" spans="1:20" x14ac:dyDescent="0.3">
      <c r="A643">
        <v>112</v>
      </c>
      <c r="B643" t="s">
        <v>313</v>
      </c>
      <c r="C643" t="s">
        <v>67</v>
      </c>
      <c r="D643">
        <v>2001</v>
      </c>
      <c r="E643" s="1">
        <v>37126</v>
      </c>
      <c r="F643" t="s">
        <v>23</v>
      </c>
      <c r="G643" s="2">
        <v>1467116.07</v>
      </c>
      <c r="H643" s="2">
        <v>2427931.73</v>
      </c>
      <c r="I643" s="2">
        <v>4487170.96</v>
      </c>
      <c r="J643" s="2">
        <v>421658.06</v>
      </c>
      <c r="K643" s="2">
        <v>1420464.26</v>
      </c>
      <c r="L643">
        <v>6</v>
      </c>
      <c r="M643">
        <v>49</v>
      </c>
      <c r="N643">
        <v>20081</v>
      </c>
      <c r="O643">
        <v>50</v>
      </c>
      <c r="P643" t="s">
        <v>231</v>
      </c>
      <c r="Q643" t="s">
        <v>314</v>
      </c>
      <c r="R643" s="2">
        <f>Table1[[#This Row],[Global_BoxOfficeUSD]]-Table1[[#This Row],[BudgetUSD]]</f>
        <v>3020054.8899999997</v>
      </c>
      <c r="S643" s="15">
        <f>Table1[[#This Row],[Profit]]/Table1[[#This Row],[BudgetUSD]]</f>
        <v>2.0584975870382221</v>
      </c>
      <c r="T643" t="str">
        <f>IF(Table1[[#This Row],[ROI]]&gt;100%,"Hit","Flop")</f>
        <v>Hit</v>
      </c>
    </row>
    <row r="644" spans="1:20" x14ac:dyDescent="0.3">
      <c r="A644">
        <v>237</v>
      </c>
      <c r="B644" t="s">
        <v>549</v>
      </c>
      <c r="C644" t="s">
        <v>38</v>
      </c>
      <c r="D644">
        <v>2013</v>
      </c>
      <c r="E644" s="1">
        <v>41507</v>
      </c>
      <c r="F644" t="s">
        <v>23</v>
      </c>
      <c r="G644" s="2">
        <v>2771452.39</v>
      </c>
      <c r="H644" s="2">
        <v>1863661.39</v>
      </c>
      <c r="I644" s="2">
        <v>4480810.91</v>
      </c>
      <c r="J644" s="2">
        <v>551982.27</v>
      </c>
      <c r="K644" s="2">
        <v>1094430.2</v>
      </c>
      <c r="L644">
        <v>5.7</v>
      </c>
      <c r="M644">
        <v>51</v>
      </c>
      <c r="N644">
        <v>6208</v>
      </c>
      <c r="O644">
        <v>50</v>
      </c>
      <c r="P644" t="s">
        <v>90</v>
      </c>
      <c r="Q644" t="s">
        <v>550</v>
      </c>
      <c r="R644" s="2">
        <f>Table1[[#This Row],[Global_BoxOfficeUSD]]-Table1[[#This Row],[BudgetUSD]]</f>
        <v>1709358.52</v>
      </c>
      <c r="S644" s="15">
        <f>Table1[[#This Row],[Profit]]/Table1[[#This Row],[BudgetUSD]]</f>
        <v>0.61677354666734863</v>
      </c>
      <c r="T644" t="str">
        <f>IF(Table1[[#This Row],[ROI]]&gt;100%,"Hit","Flop")</f>
        <v>Flop</v>
      </c>
    </row>
    <row r="645" spans="1:20" x14ac:dyDescent="0.3">
      <c r="A645">
        <v>508</v>
      </c>
      <c r="B645" t="s">
        <v>917</v>
      </c>
      <c r="C645" t="s">
        <v>33</v>
      </c>
      <c r="D645">
        <v>1951</v>
      </c>
      <c r="E645" s="1">
        <v>18661</v>
      </c>
      <c r="F645" t="s">
        <v>23</v>
      </c>
      <c r="G645" s="2">
        <v>1098657.4099999999</v>
      </c>
      <c r="H645" s="2">
        <v>2476875.88</v>
      </c>
      <c r="I645" s="2">
        <v>4449587.0599999996</v>
      </c>
      <c r="J645" s="2">
        <v>441110.09</v>
      </c>
      <c r="K645" s="2">
        <v>1452849.2</v>
      </c>
      <c r="L645">
        <v>8.8000000000000007</v>
      </c>
      <c r="M645">
        <v>86</v>
      </c>
      <c r="N645">
        <v>16228</v>
      </c>
      <c r="O645">
        <v>351</v>
      </c>
      <c r="P645" t="s">
        <v>695</v>
      </c>
      <c r="Q645" t="s">
        <v>366</v>
      </c>
      <c r="R645" s="2">
        <f>Table1[[#This Row],[Global_BoxOfficeUSD]]-Table1[[#This Row],[BudgetUSD]]</f>
        <v>3350929.6499999994</v>
      </c>
      <c r="S645" s="15">
        <f>Table1[[#This Row],[Profit]]/Table1[[#This Row],[BudgetUSD]]</f>
        <v>3.0500223450001576</v>
      </c>
      <c r="T645" t="str">
        <f>IF(Table1[[#This Row],[ROI]]&gt;100%,"Hit","Flop")</f>
        <v>Hit</v>
      </c>
    </row>
    <row r="646" spans="1:20" x14ac:dyDescent="0.3">
      <c r="A646">
        <v>248</v>
      </c>
      <c r="B646" t="s">
        <v>566</v>
      </c>
      <c r="C646" t="s">
        <v>45</v>
      </c>
      <c r="D646">
        <v>2018</v>
      </c>
      <c r="E646" s="1">
        <v>43385</v>
      </c>
      <c r="F646" t="s">
        <v>23</v>
      </c>
      <c r="G646" s="2">
        <v>4435170.45</v>
      </c>
      <c r="H646" s="2">
        <v>2764022.28</v>
      </c>
      <c r="I646" s="2">
        <v>4435170.45</v>
      </c>
      <c r="J646" s="2">
        <v>537455.52</v>
      </c>
      <c r="K646" s="2">
        <v>1570461.76</v>
      </c>
      <c r="L646">
        <v>6</v>
      </c>
      <c r="M646">
        <v>51</v>
      </c>
      <c r="N646">
        <v>1444</v>
      </c>
      <c r="O646">
        <v>1856</v>
      </c>
      <c r="P646" t="s">
        <v>299</v>
      </c>
      <c r="Q646" t="s">
        <v>567</v>
      </c>
      <c r="R646" s="2">
        <f>Table1[[#This Row],[Global_BoxOfficeUSD]]-Table1[[#This Row],[BudgetUSD]]</f>
        <v>0</v>
      </c>
      <c r="S646" s="15">
        <f>Table1[[#This Row],[Profit]]/Table1[[#This Row],[BudgetUSD]]</f>
        <v>0</v>
      </c>
      <c r="T646" t="str">
        <f>IF(Table1[[#This Row],[ROI]]&gt;100%,"Hit","Flop")</f>
        <v>Flop</v>
      </c>
    </row>
    <row r="647" spans="1:20" x14ac:dyDescent="0.3">
      <c r="A647">
        <v>640</v>
      </c>
      <c r="B647" t="s">
        <v>1059</v>
      </c>
      <c r="C647" t="s">
        <v>38</v>
      </c>
      <c r="D647">
        <v>1992</v>
      </c>
      <c r="E647" s="1">
        <v>33969</v>
      </c>
      <c r="F647" t="s">
        <v>23</v>
      </c>
      <c r="G647" s="2">
        <v>2046831.72</v>
      </c>
      <c r="H647" s="2">
        <v>2522221.0299999998</v>
      </c>
      <c r="I647" s="2">
        <v>4415778.99</v>
      </c>
      <c r="J647" s="2">
        <v>400815.35999999999</v>
      </c>
      <c r="K647" s="2">
        <v>1250709.8799999999</v>
      </c>
      <c r="L647">
        <v>6.1</v>
      </c>
      <c r="M647">
        <v>58</v>
      </c>
      <c r="N647">
        <v>3250</v>
      </c>
      <c r="O647">
        <v>470</v>
      </c>
      <c r="P647" t="s">
        <v>307</v>
      </c>
      <c r="Q647" t="s">
        <v>109</v>
      </c>
      <c r="R647" s="2">
        <f>Table1[[#This Row],[Global_BoxOfficeUSD]]-Table1[[#This Row],[BudgetUSD]]</f>
        <v>2368947.2700000005</v>
      </c>
      <c r="S647" s="15">
        <f>Table1[[#This Row],[Profit]]/Table1[[#This Row],[BudgetUSD]]</f>
        <v>1.1573727565644725</v>
      </c>
      <c r="T647" t="str">
        <f>IF(Table1[[#This Row],[ROI]]&gt;100%,"Hit","Flop")</f>
        <v>Hit</v>
      </c>
    </row>
    <row r="648" spans="1:20" x14ac:dyDescent="0.3">
      <c r="A648">
        <v>764</v>
      </c>
      <c r="B648" t="s">
        <v>1185</v>
      </c>
      <c r="C648" t="s">
        <v>107</v>
      </c>
      <c r="D648">
        <v>2009</v>
      </c>
      <c r="E648" s="1">
        <v>39939</v>
      </c>
      <c r="F648" t="s">
        <v>23</v>
      </c>
      <c r="G648" s="2">
        <v>2430228.73</v>
      </c>
      <c r="H648" s="2">
        <v>2781284.27</v>
      </c>
      <c r="I648" s="2">
        <v>4375803.0999999996</v>
      </c>
      <c r="J648" s="2">
        <v>282360.58</v>
      </c>
      <c r="K648" s="2">
        <v>1485046.65</v>
      </c>
      <c r="L648">
        <v>5.4</v>
      </c>
      <c r="M648">
        <v>62</v>
      </c>
      <c r="N648">
        <v>1379</v>
      </c>
      <c r="O648">
        <v>1839</v>
      </c>
      <c r="P648" t="s">
        <v>351</v>
      </c>
      <c r="Q648" t="s">
        <v>399</v>
      </c>
      <c r="R648" s="2">
        <f>Table1[[#This Row],[Global_BoxOfficeUSD]]-Table1[[#This Row],[BudgetUSD]]</f>
        <v>1945574.3699999996</v>
      </c>
      <c r="S648" s="15">
        <f>Table1[[#This Row],[Profit]]/Table1[[#This Row],[BudgetUSD]]</f>
        <v>0.80057253294014008</v>
      </c>
      <c r="T648" t="str">
        <f>IF(Table1[[#This Row],[ROI]]&gt;100%,"Hit","Flop")</f>
        <v>Flop</v>
      </c>
    </row>
    <row r="649" spans="1:20" x14ac:dyDescent="0.3">
      <c r="A649">
        <v>4</v>
      </c>
      <c r="B649" t="s">
        <v>29</v>
      </c>
      <c r="C649" t="s">
        <v>18</v>
      </c>
      <c r="D649">
        <v>1998</v>
      </c>
      <c r="E649" s="1">
        <v>36013</v>
      </c>
      <c r="F649" t="s">
        <v>23</v>
      </c>
      <c r="G649" s="2">
        <v>1447311.46</v>
      </c>
      <c r="H649" s="2">
        <v>2023683.92</v>
      </c>
      <c r="I649" s="2">
        <v>4373820.26</v>
      </c>
      <c r="J649" s="2">
        <v>570657.72</v>
      </c>
      <c r="K649" s="2">
        <v>898886.01</v>
      </c>
      <c r="L649">
        <v>7.3</v>
      </c>
      <c r="M649">
        <v>87</v>
      </c>
      <c r="N649">
        <v>2467</v>
      </c>
      <c r="O649">
        <v>1751</v>
      </c>
      <c r="P649" t="s">
        <v>30</v>
      </c>
      <c r="Q649" t="s">
        <v>31</v>
      </c>
      <c r="R649" s="2">
        <f>Table1[[#This Row],[Global_BoxOfficeUSD]]-Table1[[#This Row],[BudgetUSD]]</f>
        <v>2926508.8</v>
      </c>
      <c r="S649" s="15">
        <f>Table1[[#This Row],[Profit]]/Table1[[#This Row],[BudgetUSD]]</f>
        <v>2.0220311113960223</v>
      </c>
      <c r="T649" t="str">
        <f>IF(Table1[[#This Row],[ROI]]&gt;100%,"Hit","Flop")</f>
        <v>Hit</v>
      </c>
    </row>
    <row r="650" spans="1:20" x14ac:dyDescent="0.3">
      <c r="A650">
        <v>831</v>
      </c>
      <c r="B650" t="s">
        <v>1249</v>
      </c>
      <c r="C650" t="s">
        <v>38</v>
      </c>
      <c r="D650">
        <v>1961</v>
      </c>
      <c r="E650" s="1">
        <v>22325</v>
      </c>
      <c r="F650" t="s">
        <v>23</v>
      </c>
      <c r="G650" s="2">
        <v>3384037.07</v>
      </c>
      <c r="H650" s="2">
        <v>2383066.8199999998</v>
      </c>
      <c r="I650" s="2">
        <v>4361420.97</v>
      </c>
      <c r="J650" s="2">
        <v>445245.07</v>
      </c>
      <c r="K650" s="2">
        <v>1386345.62</v>
      </c>
      <c r="L650">
        <v>5.7</v>
      </c>
      <c r="M650">
        <v>59</v>
      </c>
      <c r="N650">
        <v>24591</v>
      </c>
      <c r="O650">
        <v>243</v>
      </c>
      <c r="P650" t="s">
        <v>523</v>
      </c>
      <c r="Q650" t="s">
        <v>574</v>
      </c>
      <c r="R650" s="2">
        <f>Table1[[#This Row],[Global_BoxOfficeUSD]]-Table1[[#This Row],[BudgetUSD]]</f>
        <v>977383.89999999991</v>
      </c>
      <c r="S650" s="15">
        <f>Table1[[#This Row],[Profit]]/Table1[[#This Row],[BudgetUSD]]</f>
        <v>0.2888218656540899</v>
      </c>
      <c r="T650" t="str">
        <f>IF(Table1[[#This Row],[ROI]]&gt;100%,"Hit","Flop")</f>
        <v>Flop</v>
      </c>
    </row>
    <row r="651" spans="1:20" x14ac:dyDescent="0.3">
      <c r="A651">
        <v>576</v>
      </c>
      <c r="B651" t="s">
        <v>991</v>
      </c>
      <c r="C651" t="s">
        <v>67</v>
      </c>
      <c r="D651">
        <v>2017</v>
      </c>
      <c r="E651" s="1">
        <v>43094</v>
      </c>
      <c r="F651" t="s">
        <v>23</v>
      </c>
      <c r="G651" s="2">
        <v>991502.47</v>
      </c>
      <c r="H651" s="2">
        <v>2714590.26</v>
      </c>
      <c r="I651" s="2">
        <v>4328909.8</v>
      </c>
      <c r="J651" s="2">
        <v>353303.53</v>
      </c>
      <c r="K651" s="2">
        <v>1468260.94</v>
      </c>
      <c r="L651">
        <v>5.8</v>
      </c>
      <c r="M651">
        <v>56</v>
      </c>
      <c r="N651">
        <v>1836</v>
      </c>
      <c r="O651">
        <v>799</v>
      </c>
      <c r="P651" t="s">
        <v>27</v>
      </c>
      <c r="Q651" t="s">
        <v>165</v>
      </c>
      <c r="R651" s="2">
        <f>Table1[[#This Row],[Global_BoxOfficeUSD]]-Table1[[#This Row],[BudgetUSD]]</f>
        <v>3337407.33</v>
      </c>
      <c r="S651" s="15">
        <f>Table1[[#This Row],[Profit]]/Table1[[#This Row],[BudgetUSD]]</f>
        <v>3.3660101018205233</v>
      </c>
      <c r="T651" t="str">
        <f>IF(Table1[[#This Row],[ROI]]&gt;100%,"Hit","Flop")</f>
        <v>Hit</v>
      </c>
    </row>
    <row r="652" spans="1:20" x14ac:dyDescent="0.3">
      <c r="A652">
        <v>691</v>
      </c>
      <c r="B652" t="s">
        <v>1110</v>
      </c>
      <c r="C652" t="s">
        <v>18</v>
      </c>
      <c r="D652">
        <v>1953</v>
      </c>
      <c r="E652" s="1">
        <v>19649</v>
      </c>
      <c r="F652" t="s">
        <v>267</v>
      </c>
      <c r="G652" s="2">
        <v>2376077.04</v>
      </c>
      <c r="H652" s="2">
        <v>2302995.6</v>
      </c>
      <c r="I652" s="2">
        <v>4316421.7300000004</v>
      </c>
      <c r="J652" s="2">
        <v>415373.07</v>
      </c>
      <c r="K652" s="2">
        <v>1217470.26</v>
      </c>
      <c r="L652">
        <v>5.5</v>
      </c>
      <c r="M652">
        <v>45</v>
      </c>
      <c r="N652">
        <v>1753</v>
      </c>
      <c r="O652">
        <v>8203</v>
      </c>
      <c r="P652" t="s">
        <v>690</v>
      </c>
      <c r="Q652" t="s">
        <v>410</v>
      </c>
      <c r="R652" s="2">
        <f>Table1[[#This Row],[Global_BoxOfficeUSD]]-Table1[[#This Row],[BudgetUSD]]</f>
        <v>1940344.6900000004</v>
      </c>
      <c r="S652" s="15">
        <f>Table1[[#This Row],[Profit]]/Table1[[#This Row],[BudgetUSD]]</f>
        <v>0.81661690986248514</v>
      </c>
      <c r="T652" t="str">
        <f>IF(Table1[[#This Row],[ROI]]&gt;100%,"Hit","Flop")</f>
        <v>Flop</v>
      </c>
    </row>
    <row r="653" spans="1:20" x14ac:dyDescent="0.3">
      <c r="A653">
        <v>174</v>
      </c>
      <c r="B653" t="s">
        <v>444</v>
      </c>
      <c r="C653" t="s">
        <v>33</v>
      </c>
      <c r="D653">
        <v>2008</v>
      </c>
      <c r="E653" s="1">
        <v>39681</v>
      </c>
      <c r="F653" t="s">
        <v>23</v>
      </c>
      <c r="G653" s="2">
        <v>1980395.61</v>
      </c>
      <c r="H653" s="2">
        <v>2516752.56</v>
      </c>
      <c r="I653" s="2">
        <v>4308695.4800000004</v>
      </c>
      <c r="J653" s="2">
        <v>635437.32999999996</v>
      </c>
      <c r="K653" s="2">
        <v>1409730.85</v>
      </c>
      <c r="L653">
        <v>6.8</v>
      </c>
      <c r="M653">
        <v>73</v>
      </c>
      <c r="N653">
        <v>4217</v>
      </c>
      <c r="O653">
        <v>50</v>
      </c>
      <c r="P653" t="s">
        <v>35</v>
      </c>
      <c r="Q653" t="s">
        <v>445</v>
      </c>
      <c r="R653" s="2">
        <f>Table1[[#This Row],[Global_BoxOfficeUSD]]-Table1[[#This Row],[BudgetUSD]]</f>
        <v>2328299.87</v>
      </c>
      <c r="S653" s="15">
        <f>Table1[[#This Row],[Profit]]/Table1[[#This Row],[BudgetUSD]]</f>
        <v>1.1756741220003006</v>
      </c>
      <c r="T653" t="str">
        <f>IF(Table1[[#This Row],[ROI]]&gt;100%,"Hit","Flop")</f>
        <v>Hit</v>
      </c>
    </row>
    <row r="654" spans="1:20" x14ac:dyDescent="0.3">
      <c r="A654">
        <v>825</v>
      </c>
      <c r="B654" t="s">
        <v>1242</v>
      </c>
      <c r="C654" t="s">
        <v>38</v>
      </c>
      <c r="D654">
        <v>1959</v>
      </c>
      <c r="E654" s="1">
        <v>21697</v>
      </c>
      <c r="F654" t="s">
        <v>23</v>
      </c>
      <c r="G654" s="2">
        <v>4287019.96</v>
      </c>
      <c r="H654" s="2">
        <v>2178419.19</v>
      </c>
      <c r="I654" s="2">
        <v>4287019.96</v>
      </c>
      <c r="J654" s="2">
        <v>251038.26</v>
      </c>
      <c r="K654" s="2">
        <v>1161903.53</v>
      </c>
      <c r="L654">
        <v>9.1999999999999993</v>
      </c>
      <c r="M654">
        <v>89</v>
      </c>
      <c r="N654">
        <v>228</v>
      </c>
      <c r="O654">
        <v>21266</v>
      </c>
      <c r="P654" t="s">
        <v>287</v>
      </c>
      <c r="Q654" t="s">
        <v>518</v>
      </c>
      <c r="R654" s="2">
        <f>Table1[[#This Row],[Global_BoxOfficeUSD]]-Table1[[#This Row],[BudgetUSD]]</f>
        <v>0</v>
      </c>
      <c r="S654" s="15">
        <f>Table1[[#This Row],[Profit]]/Table1[[#This Row],[BudgetUSD]]</f>
        <v>0</v>
      </c>
      <c r="T654" t="str">
        <f>IF(Table1[[#This Row],[ROI]]&gt;100%,"Hit","Flop")</f>
        <v>Flop</v>
      </c>
    </row>
    <row r="655" spans="1:20" x14ac:dyDescent="0.3">
      <c r="A655">
        <v>457</v>
      </c>
      <c r="B655" t="s">
        <v>849</v>
      </c>
      <c r="C655" t="s">
        <v>67</v>
      </c>
      <c r="D655">
        <v>2022</v>
      </c>
      <c r="E655" s="1">
        <v>44918</v>
      </c>
      <c r="F655" t="s">
        <v>23</v>
      </c>
      <c r="G655" s="2">
        <v>989007</v>
      </c>
      <c r="H655" s="2">
        <v>1804230.91</v>
      </c>
      <c r="I655" s="2">
        <v>4275056.2300000004</v>
      </c>
      <c r="J655" s="2">
        <v>184212.82</v>
      </c>
      <c r="K655" s="2">
        <v>725993.39</v>
      </c>
      <c r="L655">
        <v>5.2</v>
      </c>
      <c r="M655">
        <v>55</v>
      </c>
      <c r="N655">
        <v>625</v>
      </c>
      <c r="O655">
        <v>50</v>
      </c>
      <c r="P655" t="s">
        <v>609</v>
      </c>
      <c r="Q655" t="s">
        <v>100</v>
      </c>
      <c r="R655" s="2">
        <f>Table1[[#This Row],[Global_BoxOfficeUSD]]-Table1[[#This Row],[BudgetUSD]]</f>
        <v>3286049.2300000004</v>
      </c>
      <c r="S655" s="15">
        <f>Table1[[#This Row],[Profit]]/Table1[[#This Row],[BudgetUSD]]</f>
        <v>3.3225742891607446</v>
      </c>
      <c r="T655" t="str">
        <f>IF(Table1[[#This Row],[ROI]]&gt;100%,"Hit","Flop")</f>
        <v>Hit</v>
      </c>
    </row>
    <row r="656" spans="1:20" x14ac:dyDescent="0.3">
      <c r="A656">
        <v>637</v>
      </c>
      <c r="B656" t="s">
        <v>1055</v>
      </c>
      <c r="C656" t="s">
        <v>45</v>
      </c>
      <c r="D656">
        <v>2011</v>
      </c>
      <c r="E656" s="1">
        <v>40784</v>
      </c>
      <c r="F656" t="s">
        <v>23</v>
      </c>
      <c r="G656" s="2">
        <v>2886636.24</v>
      </c>
      <c r="H656" s="2">
        <v>1756198.6</v>
      </c>
      <c r="I656" s="2">
        <v>4272580.68</v>
      </c>
      <c r="J656" s="2">
        <v>275504.28000000003</v>
      </c>
      <c r="K656" s="2">
        <v>1025333.25</v>
      </c>
      <c r="L656">
        <v>7.8</v>
      </c>
      <c r="M656">
        <v>75</v>
      </c>
      <c r="N656">
        <v>958</v>
      </c>
      <c r="O656">
        <v>190</v>
      </c>
      <c r="P656" t="s">
        <v>666</v>
      </c>
      <c r="Q656" t="s">
        <v>1056</v>
      </c>
      <c r="R656" s="2">
        <f>Table1[[#This Row],[Global_BoxOfficeUSD]]-Table1[[#This Row],[BudgetUSD]]</f>
        <v>1385944.4399999995</v>
      </c>
      <c r="S656" s="15">
        <f>Table1[[#This Row],[Profit]]/Table1[[#This Row],[BudgetUSD]]</f>
        <v>0.48012438172673927</v>
      </c>
      <c r="T656" t="str">
        <f>IF(Table1[[#This Row],[ROI]]&gt;100%,"Hit","Flop")</f>
        <v>Flop</v>
      </c>
    </row>
    <row r="657" spans="1:20" x14ac:dyDescent="0.3">
      <c r="A657">
        <v>295</v>
      </c>
      <c r="B657" t="s">
        <v>633</v>
      </c>
      <c r="C657" t="s">
        <v>67</v>
      </c>
      <c r="D657">
        <v>1988</v>
      </c>
      <c r="E657" s="1">
        <v>32499</v>
      </c>
      <c r="F657" t="s">
        <v>23</v>
      </c>
      <c r="G657" s="2">
        <v>900248.25</v>
      </c>
      <c r="H657" s="2">
        <v>2290889.56</v>
      </c>
      <c r="I657" s="2">
        <v>4266760.79</v>
      </c>
      <c r="J657" s="2">
        <v>235920.1</v>
      </c>
      <c r="K657" s="2">
        <v>1112630.77</v>
      </c>
      <c r="L657">
        <v>5.9</v>
      </c>
      <c r="M657">
        <v>64</v>
      </c>
      <c r="N657">
        <v>819</v>
      </c>
      <c r="O657">
        <v>1711</v>
      </c>
      <c r="P657" t="s">
        <v>396</v>
      </c>
      <c r="Q657" t="s">
        <v>175</v>
      </c>
      <c r="R657" s="2">
        <f>Table1[[#This Row],[Global_BoxOfficeUSD]]-Table1[[#This Row],[BudgetUSD]]</f>
        <v>3366512.54</v>
      </c>
      <c r="S657" s="15">
        <f>Table1[[#This Row],[Profit]]/Table1[[#This Row],[BudgetUSD]]</f>
        <v>3.7395379996573168</v>
      </c>
      <c r="T657" t="str">
        <f>IF(Table1[[#This Row],[ROI]]&gt;100%,"Hit","Flop")</f>
        <v>Hit</v>
      </c>
    </row>
    <row r="658" spans="1:20" x14ac:dyDescent="0.3">
      <c r="A658">
        <v>96</v>
      </c>
      <c r="B658" t="s">
        <v>279</v>
      </c>
      <c r="C658" t="s">
        <v>38</v>
      </c>
      <c r="D658">
        <v>2022</v>
      </c>
      <c r="E658" s="1">
        <v>44889</v>
      </c>
      <c r="F658" t="s">
        <v>23</v>
      </c>
      <c r="G658" s="2">
        <v>1987747.41</v>
      </c>
      <c r="H658" s="2">
        <v>1774715.27</v>
      </c>
      <c r="I658" s="2">
        <v>4255442.83</v>
      </c>
      <c r="J658" s="2">
        <v>292971.59000000003</v>
      </c>
      <c r="K658" s="2">
        <v>875577.86</v>
      </c>
      <c r="L658">
        <v>7.6</v>
      </c>
      <c r="M658">
        <v>88</v>
      </c>
      <c r="N658">
        <v>2444</v>
      </c>
      <c r="O658">
        <v>2487</v>
      </c>
      <c r="P658" t="s">
        <v>280</v>
      </c>
      <c r="Q658" t="s">
        <v>262</v>
      </c>
      <c r="R658" s="2">
        <f>Table1[[#This Row],[Global_BoxOfficeUSD]]-Table1[[#This Row],[BudgetUSD]]</f>
        <v>2267695.42</v>
      </c>
      <c r="S658" s="15">
        <f>Table1[[#This Row],[Profit]]/Table1[[#This Row],[BudgetUSD]]</f>
        <v>1.1408368128624553</v>
      </c>
      <c r="T658" t="str">
        <f>IF(Table1[[#This Row],[ROI]]&gt;100%,"Hit","Flop")</f>
        <v>Hit</v>
      </c>
    </row>
    <row r="659" spans="1:20" x14ac:dyDescent="0.3">
      <c r="A659">
        <v>565</v>
      </c>
      <c r="B659" t="s">
        <v>977</v>
      </c>
      <c r="C659" t="s">
        <v>38</v>
      </c>
      <c r="D659">
        <v>1999</v>
      </c>
      <c r="E659" s="1">
        <v>36387</v>
      </c>
      <c r="F659" t="s">
        <v>34</v>
      </c>
      <c r="G659" s="2">
        <v>858409.08</v>
      </c>
      <c r="H659" s="2">
        <v>2381201.4500000002</v>
      </c>
      <c r="I659" s="2">
        <v>4254504.51</v>
      </c>
      <c r="J659" s="2">
        <v>279329.67</v>
      </c>
      <c r="K659" s="2">
        <v>1305971.3500000001</v>
      </c>
      <c r="L659">
        <v>7</v>
      </c>
      <c r="M659">
        <v>71</v>
      </c>
      <c r="N659">
        <v>36874</v>
      </c>
      <c r="O659">
        <v>2068</v>
      </c>
      <c r="P659" t="s">
        <v>307</v>
      </c>
      <c r="Q659" t="s">
        <v>978</v>
      </c>
      <c r="R659" s="2">
        <f>Table1[[#This Row],[Global_BoxOfficeUSD]]-Table1[[#This Row],[BudgetUSD]]</f>
        <v>3396095.4299999997</v>
      </c>
      <c r="S659" s="15">
        <f>Table1[[#This Row],[Profit]]/Table1[[#This Row],[BudgetUSD]]</f>
        <v>3.9562669001590707</v>
      </c>
      <c r="T659" t="str">
        <f>IF(Table1[[#This Row],[ROI]]&gt;100%,"Hit","Flop")</f>
        <v>Hit</v>
      </c>
    </row>
    <row r="660" spans="1:20" x14ac:dyDescent="0.3">
      <c r="A660">
        <v>513</v>
      </c>
      <c r="B660" t="s">
        <v>921</v>
      </c>
      <c r="C660" t="s">
        <v>67</v>
      </c>
      <c r="D660">
        <v>2003</v>
      </c>
      <c r="E660" s="1">
        <v>37980</v>
      </c>
      <c r="F660" t="s">
        <v>23</v>
      </c>
      <c r="G660" s="2">
        <v>2119066.21</v>
      </c>
      <c r="H660" s="2">
        <v>2461815.27</v>
      </c>
      <c r="I660" s="2">
        <v>4252745.84</v>
      </c>
      <c r="J660" s="2">
        <v>296461.49</v>
      </c>
      <c r="K660" s="2">
        <v>1380592.72</v>
      </c>
      <c r="L660">
        <v>8.3000000000000007</v>
      </c>
      <c r="M660">
        <v>98</v>
      </c>
      <c r="N660">
        <v>7172</v>
      </c>
      <c r="O660">
        <v>648</v>
      </c>
      <c r="P660" t="s">
        <v>419</v>
      </c>
      <c r="Q660" t="s">
        <v>922</v>
      </c>
      <c r="R660" s="2">
        <f>Table1[[#This Row],[Global_BoxOfficeUSD]]-Table1[[#This Row],[BudgetUSD]]</f>
        <v>2133679.63</v>
      </c>
      <c r="S660" s="15">
        <f>Table1[[#This Row],[Profit]]/Table1[[#This Row],[BudgetUSD]]</f>
        <v>1.0068961601723618</v>
      </c>
      <c r="T660" t="str">
        <f>IF(Table1[[#This Row],[ROI]]&gt;100%,"Hit","Flop")</f>
        <v>Hit</v>
      </c>
    </row>
    <row r="661" spans="1:20" x14ac:dyDescent="0.3">
      <c r="A661">
        <v>156</v>
      </c>
      <c r="B661" t="s">
        <v>403</v>
      </c>
      <c r="C661" t="s">
        <v>86</v>
      </c>
      <c r="D661">
        <v>1971</v>
      </c>
      <c r="E661" s="1">
        <v>26150</v>
      </c>
      <c r="F661" t="s">
        <v>23</v>
      </c>
      <c r="G661" s="2">
        <v>1645230.88</v>
      </c>
      <c r="H661" s="2">
        <v>2301142.2799999998</v>
      </c>
      <c r="I661" s="2">
        <v>4241157.97</v>
      </c>
      <c r="J661" s="2">
        <v>664993.86</v>
      </c>
      <c r="K661" s="2">
        <v>1329645.81</v>
      </c>
      <c r="L661">
        <v>6.7</v>
      </c>
      <c r="M661">
        <v>57</v>
      </c>
      <c r="N661">
        <v>100</v>
      </c>
      <c r="O661">
        <v>778</v>
      </c>
      <c r="P661" t="s">
        <v>337</v>
      </c>
      <c r="Q661" t="s">
        <v>404</v>
      </c>
      <c r="R661" s="2">
        <f>Table1[[#This Row],[Global_BoxOfficeUSD]]-Table1[[#This Row],[BudgetUSD]]</f>
        <v>2595927.09</v>
      </c>
      <c r="S661" s="15">
        <f>Table1[[#This Row],[Profit]]/Table1[[#This Row],[BudgetUSD]]</f>
        <v>1.5778497240460256</v>
      </c>
      <c r="T661" t="str">
        <f>IF(Table1[[#This Row],[ROI]]&gt;100%,"Hit","Flop")</f>
        <v>Hit</v>
      </c>
    </row>
    <row r="662" spans="1:20" x14ac:dyDescent="0.3">
      <c r="A662">
        <v>720</v>
      </c>
      <c r="B662" t="s">
        <v>1138</v>
      </c>
      <c r="C662" t="s">
        <v>38</v>
      </c>
      <c r="D662">
        <v>1987</v>
      </c>
      <c r="E662" s="1">
        <v>31832</v>
      </c>
      <c r="F662" t="s">
        <v>23</v>
      </c>
      <c r="G662" s="2">
        <v>3607676.99</v>
      </c>
      <c r="H662" s="2">
        <v>2203333.7599999998</v>
      </c>
      <c r="I662" s="2">
        <v>4240719.29</v>
      </c>
      <c r="J662" s="2">
        <v>418221.21</v>
      </c>
      <c r="K662" s="2">
        <v>1158339.25</v>
      </c>
      <c r="L662">
        <v>6.8</v>
      </c>
      <c r="M662">
        <v>71</v>
      </c>
      <c r="N662">
        <v>3438</v>
      </c>
      <c r="O662">
        <v>1267</v>
      </c>
      <c r="P662" t="s">
        <v>658</v>
      </c>
      <c r="Q662" t="s">
        <v>253</v>
      </c>
      <c r="R662" s="2">
        <f>Table1[[#This Row],[Global_BoxOfficeUSD]]-Table1[[#This Row],[BudgetUSD]]</f>
        <v>633042.29999999981</v>
      </c>
      <c r="S662" s="15">
        <f>Table1[[#This Row],[Profit]]/Table1[[#This Row],[BudgetUSD]]</f>
        <v>0.17547089214325692</v>
      </c>
      <c r="T662" t="str">
        <f>IF(Table1[[#This Row],[ROI]]&gt;100%,"Hit","Flop")</f>
        <v>Flop</v>
      </c>
    </row>
    <row r="663" spans="1:20" x14ac:dyDescent="0.3">
      <c r="A663">
        <v>408</v>
      </c>
      <c r="B663" t="s">
        <v>786</v>
      </c>
      <c r="C663" t="s">
        <v>86</v>
      </c>
      <c r="D663">
        <v>1997</v>
      </c>
      <c r="E663" s="1">
        <v>35602</v>
      </c>
      <c r="F663" t="s">
        <v>132</v>
      </c>
      <c r="G663" s="2">
        <v>4219197.96</v>
      </c>
      <c r="H663" s="2">
        <v>2833789.7</v>
      </c>
      <c r="I663" s="2">
        <v>4219197.96</v>
      </c>
      <c r="J663" s="2">
        <v>796499.71</v>
      </c>
      <c r="K663" s="2">
        <v>1687904.21</v>
      </c>
      <c r="L663">
        <v>5</v>
      </c>
      <c r="M663">
        <v>32</v>
      </c>
      <c r="N663">
        <v>2037</v>
      </c>
      <c r="O663">
        <v>50</v>
      </c>
      <c r="P663" t="s">
        <v>424</v>
      </c>
      <c r="Q663" t="s">
        <v>787</v>
      </c>
      <c r="R663" s="2">
        <f>Table1[[#This Row],[Global_BoxOfficeUSD]]-Table1[[#This Row],[BudgetUSD]]</f>
        <v>0</v>
      </c>
      <c r="S663" s="15">
        <f>Table1[[#This Row],[Profit]]/Table1[[#This Row],[BudgetUSD]]</f>
        <v>0</v>
      </c>
      <c r="T663" t="str">
        <f>IF(Table1[[#This Row],[ROI]]&gt;100%,"Hit","Flop")</f>
        <v>Flop</v>
      </c>
    </row>
    <row r="664" spans="1:20" x14ac:dyDescent="0.3">
      <c r="A664">
        <v>259</v>
      </c>
      <c r="B664" t="s">
        <v>395</v>
      </c>
      <c r="C664" t="s">
        <v>45</v>
      </c>
      <c r="D664">
        <v>2008</v>
      </c>
      <c r="E664" s="1">
        <v>39785</v>
      </c>
      <c r="F664" t="s">
        <v>23</v>
      </c>
      <c r="G664" s="2">
        <v>1287951.3</v>
      </c>
      <c r="H664" s="2">
        <v>2384809.9300000002</v>
      </c>
      <c r="I664" s="2">
        <v>4208498.82</v>
      </c>
      <c r="J664" s="2">
        <v>697312.37</v>
      </c>
      <c r="K664" s="2">
        <v>1378731.56</v>
      </c>
      <c r="L664">
        <v>7</v>
      </c>
      <c r="M664">
        <v>74</v>
      </c>
      <c r="N664">
        <v>2813</v>
      </c>
      <c r="O664">
        <v>71</v>
      </c>
      <c r="P664" t="s">
        <v>436</v>
      </c>
      <c r="Q664" t="s">
        <v>40</v>
      </c>
      <c r="R664" s="2">
        <f>Table1[[#This Row],[Global_BoxOfficeUSD]]-Table1[[#This Row],[BudgetUSD]]</f>
        <v>2920547.5200000005</v>
      </c>
      <c r="S664" s="15">
        <f>Table1[[#This Row],[Profit]]/Table1[[#This Row],[BudgetUSD]]</f>
        <v>2.267591577414457</v>
      </c>
      <c r="T664" t="str">
        <f>IF(Table1[[#This Row],[ROI]]&gt;100%,"Hit","Flop")</f>
        <v>Hit</v>
      </c>
    </row>
    <row r="665" spans="1:20" x14ac:dyDescent="0.3">
      <c r="A665">
        <v>388</v>
      </c>
      <c r="B665" t="s">
        <v>762</v>
      </c>
      <c r="C665" t="s">
        <v>18</v>
      </c>
      <c r="D665">
        <v>2017</v>
      </c>
      <c r="E665" s="1">
        <v>42938</v>
      </c>
      <c r="F665" t="s">
        <v>23</v>
      </c>
      <c r="G665" s="2">
        <v>1121635.06</v>
      </c>
      <c r="H665" s="2">
        <v>2102054.59</v>
      </c>
      <c r="I665" s="2">
        <v>4200534.2300000004</v>
      </c>
      <c r="J665" s="2">
        <v>428401.34</v>
      </c>
      <c r="K665" s="2">
        <v>945122.06</v>
      </c>
      <c r="L665">
        <v>5.8</v>
      </c>
      <c r="M665">
        <v>58</v>
      </c>
      <c r="N665">
        <v>2036</v>
      </c>
      <c r="O665">
        <v>50</v>
      </c>
      <c r="P665" t="s">
        <v>344</v>
      </c>
      <c r="Q665" t="s">
        <v>62</v>
      </c>
      <c r="R665" s="2">
        <f>Table1[[#This Row],[Global_BoxOfficeUSD]]-Table1[[#This Row],[BudgetUSD]]</f>
        <v>3078899.1700000004</v>
      </c>
      <c r="S665" s="15">
        <f>Table1[[#This Row],[Profit]]/Table1[[#This Row],[BudgetUSD]]</f>
        <v>2.7450097449699906</v>
      </c>
      <c r="T665" t="str">
        <f>IF(Table1[[#This Row],[ROI]]&gt;100%,"Hit","Flop")</f>
        <v>Hit</v>
      </c>
    </row>
    <row r="666" spans="1:20" x14ac:dyDescent="0.3">
      <c r="A666">
        <v>341</v>
      </c>
      <c r="B666" t="s">
        <v>693</v>
      </c>
      <c r="C666" t="s">
        <v>67</v>
      </c>
      <c r="D666">
        <v>1978</v>
      </c>
      <c r="E666" s="1">
        <v>28504</v>
      </c>
      <c r="F666" t="s">
        <v>23</v>
      </c>
      <c r="G666" s="2">
        <v>1277380.6399999999</v>
      </c>
      <c r="H666" s="2">
        <v>2147992.17</v>
      </c>
      <c r="I666" s="2">
        <v>4189613.53</v>
      </c>
      <c r="J666" s="2">
        <v>510248.41</v>
      </c>
      <c r="K666" s="2">
        <v>1023981.15</v>
      </c>
      <c r="L666">
        <v>6.2</v>
      </c>
      <c r="M666">
        <v>60</v>
      </c>
      <c r="N666">
        <v>3120</v>
      </c>
      <c r="O666">
        <v>3697</v>
      </c>
      <c r="P666" t="s">
        <v>337</v>
      </c>
      <c r="Q666" t="s">
        <v>543</v>
      </c>
      <c r="R666" s="2">
        <f>Table1[[#This Row],[Global_BoxOfficeUSD]]-Table1[[#This Row],[BudgetUSD]]</f>
        <v>2912232.8899999997</v>
      </c>
      <c r="S666" s="15">
        <f>Table1[[#This Row],[Profit]]/Table1[[#This Row],[BudgetUSD]]</f>
        <v>2.2798473679701297</v>
      </c>
      <c r="T666" t="str">
        <f>IF(Table1[[#This Row],[ROI]]&gt;100%,"Hit","Flop")</f>
        <v>Hit</v>
      </c>
    </row>
    <row r="667" spans="1:20" x14ac:dyDescent="0.3">
      <c r="A667">
        <v>230</v>
      </c>
      <c r="B667" t="s">
        <v>540</v>
      </c>
      <c r="C667" t="s">
        <v>18</v>
      </c>
      <c r="D667">
        <v>1999</v>
      </c>
      <c r="E667" s="1">
        <v>36213</v>
      </c>
      <c r="F667" t="s">
        <v>23</v>
      </c>
      <c r="G667" s="2">
        <v>845944.7</v>
      </c>
      <c r="H667" s="2">
        <v>2384498.29</v>
      </c>
      <c r="I667" s="2">
        <v>4188135.06</v>
      </c>
      <c r="J667" s="2">
        <v>303165.71999999997</v>
      </c>
      <c r="K667" s="2">
        <v>1139023.54</v>
      </c>
      <c r="L667">
        <v>6.6</v>
      </c>
      <c r="M667">
        <v>70</v>
      </c>
      <c r="N667">
        <v>4676</v>
      </c>
      <c r="O667">
        <v>1488</v>
      </c>
      <c r="P667" t="s">
        <v>541</v>
      </c>
      <c r="Q667" t="s">
        <v>342</v>
      </c>
      <c r="R667" s="2">
        <f>Table1[[#This Row],[Global_BoxOfficeUSD]]-Table1[[#This Row],[BudgetUSD]]</f>
        <v>3342190.3600000003</v>
      </c>
      <c r="S667" s="15">
        <f>Table1[[#This Row],[Profit]]/Table1[[#This Row],[BudgetUSD]]</f>
        <v>3.9508378739177639</v>
      </c>
      <c r="T667" t="str">
        <f>IF(Table1[[#This Row],[ROI]]&gt;100%,"Hit","Flop")</f>
        <v>Hit</v>
      </c>
    </row>
    <row r="668" spans="1:20" x14ac:dyDescent="0.3">
      <c r="A668">
        <v>80</v>
      </c>
      <c r="B668" t="s">
        <v>242</v>
      </c>
      <c r="C668" t="s">
        <v>45</v>
      </c>
      <c r="D668">
        <v>2018</v>
      </c>
      <c r="E668" s="1">
        <v>43108</v>
      </c>
      <c r="F668" t="s">
        <v>34</v>
      </c>
      <c r="G668" s="2">
        <v>1281929.03</v>
      </c>
      <c r="H668" s="2">
        <v>2376100.25</v>
      </c>
      <c r="I668" s="2">
        <v>4184566.19</v>
      </c>
      <c r="J668" s="2">
        <v>595849.23</v>
      </c>
      <c r="K668" s="2">
        <v>1153509.25</v>
      </c>
      <c r="L668">
        <v>8.1</v>
      </c>
      <c r="M668">
        <v>77</v>
      </c>
      <c r="N668">
        <v>172</v>
      </c>
      <c r="O668">
        <v>406</v>
      </c>
      <c r="P668" t="s">
        <v>52</v>
      </c>
      <c r="Q668" t="s">
        <v>137</v>
      </c>
      <c r="R668" s="2">
        <f>Table1[[#This Row],[Global_BoxOfficeUSD]]-Table1[[#This Row],[BudgetUSD]]</f>
        <v>2902637.16</v>
      </c>
      <c r="S668" s="15">
        <f>Table1[[#This Row],[Profit]]/Table1[[#This Row],[BudgetUSD]]</f>
        <v>2.2642728981650411</v>
      </c>
      <c r="T668" t="str">
        <f>IF(Table1[[#This Row],[ROI]]&gt;100%,"Hit","Flop")</f>
        <v>Hit</v>
      </c>
    </row>
    <row r="669" spans="1:20" x14ac:dyDescent="0.3">
      <c r="A669">
        <v>140</v>
      </c>
      <c r="B669" t="s">
        <v>371</v>
      </c>
      <c r="C669" t="s">
        <v>45</v>
      </c>
      <c r="D669">
        <v>2006</v>
      </c>
      <c r="E669" s="1">
        <v>38815</v>
      </c>
      <c r="F669" t="s">
        <v>34</v>
      </c>
      <c r="G669" s="2">
        <v>2106945.15</v>
      </c>
      <c r="H669" s="2">
        <v>2556021.63</v>
      </c>
      <c r="I669" s="2">
        <v>4158819.71</v>
      </c>
      <c r="J669" s="2">
        <v>356399.58</v>
      </c>
      <c r="K669" s="2">
        <v>1380263.2</v>
      </c>
      <c r="L669">
        <v>6.4</v>
      </c>
      <c r="M669">
        <v>79</v>
      </c>
      <c r="N669">
        <v>8081</v>
      </c>
      <c r="O669">
        <v>546</v>
      </c>
      <c r="P669" t="s">
        <v>149</v>
      </c>
      <c r="Q669" t="s">
        <v>112</v>
      </c>
      <c r="R669" s="2">
        <f>Table1[[#This Row],[Global_BoxOfficeUSD]]-Table1[[#This Row],[BudgetUSD]]</f>
        <v>2051874.56</v>
      </c>
      <c r="S669" s="15">
        <f>Table1[[#This Row],[Profit]]/Table1[[#This Row],[BudgetUSD]]</f>
        <v>0.97386235232559337</v>
      </c>
      <c r="T669" t="str">
        <f>IF(Table1[[#This Row],[ROI]]&gt;100%,"Hit","Flop")</f>
        <v>Flop</v>
      </c>
    </row>
    <row r="670" spans="1:20" x14ac:dyDescent="0.3">
      <c r="A670">
        <v>480</v>
      </c>
      <c r="B670" t="s">
        <v>877</v>
      </c>
      <c r="C670" t="s">
        <v>33</v>
      </c>
      <c r="D670">
        <v>2001</v>
      </c>
      <c r="E670" s="1">
        <v>37018</v>
      </c>
      <c r="F670" t="s">
        <v>34</v>
      </c>
      <c r="G670" s="2">
        <v>1245008.1399999999</v>
      </c>
      <c r="H670" s="2">
        <v>2252660.56</v>
      </c>
      <c r="I670" s="2">
        <v>4155953.07</v>
      </c>
      <c r="J670" s="2">
        <v>427402.37</v>
      </c>
      <c r="K670" s="2">
        <v>996521</v>
      </c>
      <c r="L670">
        <v>4.8</v>
      </c>
      <c r="M670">
        <v>57</v>
      </c>
      <c r="N670">
        <v>2468</v>
      </c>
      <c r="O670">
        <v>198</v>
      </c>
      <c r="P670" t="s">
        <v>20</v>
      </c>
      <c r="Q670" t="s">
        <v>878</v>
      </c>
      <c r="R670" s="2">
        <f>Table1[[#This Row],[Global_BoxOfficeUSD]]-Table1[[#This Row],[BudgetUSD]]</f>
        <v>2910944.9299999997</v>
      </c>
      <c r="S670" s="15">
        <f>Table1[[#This Row],[Profit]]/Table1[[#This Row],[BudgetUSD]]</f>
        <v>2.3380930907005957</v>
      </c>
      <c r="T670" t="str">
        <f>IF(Table1[[#This Row],[ROI]]&gt;100%,"Hit","Flop")</f>
        <v>Hit</v>
      </c>
    </row>
    <row r="671" spans="1:20" x14ac:dyDescent="0.3">
      <c r="A671">
        <v>723</v>
      </c>
      <c r="B671" s="14" t="s">
        <v>1141</v>
      </c>
      <c r="C671" t="s">
        <v>45</v>
      </c>
      <c r="D671">
        <v>1995</v>
      </c>
      <c r="E671" s="1">
        <v>34760</v>
      </c>
      <c r="F671" t="s">
        <v>23</v>
      </c>
      <c r="G671" s="2">
        <v>898343.76</v>
      </c>
      <c r="H671" s="2">
        <v>1832506.97</v>
      </c>
      <c r="I671" s="2">
        <v>4133263.85</v>
      </c>
      <c r="J671" s="2">
        <v>290969.15999999997</v>
      </c>
      <c r="K671" s="2">
        <v>1092339.73</v>
      </c>
      <c r="L671">
        <v>2.8</v>
      </c>
      <c r="M671">
        <v>19</v>
      </c>
      <c r="N671">
        <v>2438</v>
      </c>
      <c r="O671">
        <v>543</v>
      </c>
      <c r="P671" t="s">
        <v>334</v>
      </c>
      <c r="Q671" t="s">
        <v>944</v>
      </c>
      <c r="R671" s="2">
        <f>Table1[[#This Row],[Global_BoxOfficeUSD]]-Table1[[#This Row],[BudgetUSD]]</f>
        <v>3234920.09</v>
      </c>
      <c r="S671" s="15">
        <f>Table1[[#This Row],[Profit]]/Table1[[#This Row],[BudgetUSD]]</f>
        <v>3.600982423476732</v>
      </c>
      <c r="T671" t="str">
        <f>IF(Table1[[#This Row],[ROI]]&gt;100%,"Hit","Flop")</f>
        <v>Hit</v>
      </c>
    </row>
    <row r="672" spans="1:20" x14ac:dyDescent="0.3">
      <c r="A672">
        <v>155</v>
      </c>
      <c r="B672" t="s">
        <v>400</v>
      </c>
      <c r="C672" t="s">
        <v>86</v>
      </c>
      <c r="D672">
        <v>2006</v>
      </c>
      <c r="E672" s="1">
        <v>38962</v>
      </c>
      <c r="F672" t="s">
        <v>23</v>
      </c>
      <c r="G672" s="2">
        <v>2568410.3199999998</v>
      </c>
      <c r="H672" s="2">
        <v>2421533.7799999998</v>
      </c>
      <c r="I672" s="2">
        <v>4131496.29</v>
      </c>
      <c r="J672" s="2">
        <v>354857.93</v>
      </c>
      <c r="K672" s="2">
        <v>1214572.3700000001</v>
      </c>
      <c r="L672">
        <v>7.7</v>
      </c>
      <c r="M672">
        <v>72</v>
      </c>
      <c r="N672">
        <v>5806</v>
      </c>
      <c r="O672">
        <v>4217</v>
      </c>
      <c r="P672" t="s">
        <v>401</v>
      </c>
      <c r="Q672" t="s">
        <v>402</v>
      </c>
      <c r="R672" s="2">
        <f>Table1[[#This Row],[Global_BoxOfficeUSD]]-Table1[[#This Row],[BudgetUSD]]</f>
        <v>1563085.9700000002</v>
      </c>
      <c r="S672" s="15">
        <f>Table1[[#This Row],[Profit]]/Table1[[#This Row],[BudgetUSD]]</f>
        <v>0.60858109696428886</v>
      </c>
      <c r="T672" t="str">
        <f>IF(Table1[[#This Row],[ROI]]&gt;100%,"Hit","Flop")</f>
        <v>Flop</v>
      </c>
    </row>
    <row r="673" spans="1:20" x14ac:dyDescent="0.3">
      <c r="A673">
        <v>951</v>
      </c>
      <c r="B673" t="s">
        <v>1360</v>
      </c>
      <c r="C673" t="s">
        <v>33</v>
      </c>
      <c r="D673">
        <v>1995</v>
      </c>
      <c r="E673" s="1">
        <v>35037</v>
      </c>
      <c r="F673" t="s">
        <v>23</v>
      </c>
      <c r="G673" s="2">
        <v>1507659.06</v>
      </c>
      <c r="H673" s="2">
        <v>1749372.25</v>
      </c>
      <c r="I673" s="2">
        <v>4095886.1</v>
      </c>
      <c r="J673" s="2">
        <v>435695.96</v>
      </c>
      <c r="K673" s="2">
        <v>761455.19</v>
      </c>
      <c r="L673">
        <v>6.4</v>
      </c>
      <c r="M673">
        <v>54</v>
      </c>
      <c r="N673">
        <v>4000</v>
      </c>
      <c r="O673">
        <v>82</v>
      </c>
      <c r="P673" t="s">
        <v>666</v>
      </c>
      <c r="Q673" t="s">
        <v>1068</v>
      </c>
      <c r="R673" s="2">
        <f>Table1[[#This Row],[Global_BoxOfficeUSD]]-Table1[[#This Row],[BudgetUSD]]</f>
        <v>2588227.04</v>
      </c>
      <c r="S673" s="15">
        <f>Table1[[#This Row],[Profit]]/Table1[[#This Row],[BudgetUSD]]</f>
        <v>1.7167190571587185</v>
      </c>
      <c r="T673" t="str">
        <f>IF(Table1[[#This Row],[ROI]]&gt;100%,"Hit","Flop")</f>
        <v>Hit</v>
      </c>
    </row>
    <row r="674" spans="1:20" x14ac:dyDescent="0.3">
      <c r="A674">
        <v>716</v>
      </c>
      <c r="B674" t="s">
        <v>1135</v>
      </c>
      <c r="C674" t="s">
        <v>18</v>
      </c>
      <c r="D674">
        <v>2024</v>
      </c>
      <c r="E674" s="1">
        <v>45504</v>
      </c>
      <c r="F674" t="s">
        <v>23</v>
      </c>
      <c r="G674" s="2">
        <v>4055244.2</v>
      </c>
      <c r="H674" s="2">
        <v>2731536.26</v>
      </c>
      <c r="I674" s="2">
        <v>4055244.2</v>
      </c>
      <c r="J674" s="2">
        <v>457680.85</v>
      </c>
      <c r="K674" s="2">
        <v>1602473.69</v>
      </c>
      <c r="L674">
        <v>6.6</v>
      </c>
      <c r="M674">
        <v>55</v>
      </c>
      <c r="N674">
        <v>100</v>
      </c>
      <c r="O674">
        <v>4836</v>
      </c>
      <c r="P674" t="s">
        <v>234</v>
      </c>
      <c r="Q674" t="s">
        <v>745</v>
      </c>
      <c r="R674" s="2">
        <f>Table1[[#This Row],[Global_BoxOfficeUSD]]-Table1[[#This Row],[BudgetUSD]]</f>
        <v>0</v>
      </c>
      <c r="S674" s="15">
        <f>Table1[[#This Row],[Profit]]/Table1[[#This Row],[BudgetUSD]]</f>
        <v>0</v>
      </c>
      <c r="T674" t="str">
        <f>IF(Table1[[#This Row],[ROI]]&gt;100%,"Hit","Flop")</f>
        <v>Flop</v>
      </c>
    </row>
    <row r="675" spans="1:20" x14ac:dyDescent="0.3">
      <c r="A675">
        <v>78</v>
      </c>
      <c r="B675" t="s">
        <v>239</v>
      </c>
      <c r="C675" t="s">
        <v>18</v>
      </c>
      <c r="D675">
        <v>2019</v>
      </c>
      <c r="E675" s="1">
        <v>43482</v>
      </c>
      <c r="F675" t="s">
        <v>23</v>
      </c>
      <c r="G675" s="2">
        <v>1179407.3899999999</v>
      </c>
      <c r="H675" s="2">
        <v>2132090.19</v>
      </c>
      <c r="I675" s="2">
        <v>4019719.21</v>
      </c>
      <c r="J675" s="2">
        <v>332575.46000000002</v>
      </c>
      <c r="K675" s="2">
        <v>1255597.42</v>
      </c>
      <c r="L675">
        <v>6.1</v>
      </c>
      <c r="M675">
        <v>80</v>
      </c>
      <c r="N675">
        <v>337</v>
      </c>
      <c r="O675">
        <v>8294</v>
      </c>
      <c r="P675" t="s">
        <v>240</v>
      </c>
      <c r="Q675" t="s">
        <v>25</v>
      </c>
      <c r="R675" s="2">
        <f>Table1[[#This Row],[Global_BoxOfficeUSD]]-Table1[[#This Row],[BudgetUSD]]</f>
        <v>2840311.8200000003</v>
      </c>
      <c r="S675" s="15">
        <f>Table1[[#This Row],[Profit]]/Table1[[#This Row],[BudgetUSD]]</f>
        <v>2.4082533686684808</v>
      </c>
      <c r="T675" t="str">
        <f>IF(Table1[[#This Row],[ROI]]&gt;100%,"Hit","Flop")</f>
        <v>Hit</v>
      </c>
    </row>
    <row r="676" spans="1:20" x14ac:dyDescent="0.3">
      <c r="A676">
        <v>900</v>
      </c>
      <c r="B676" t="s">
        <v>1312</v>
      </c>
      <c r="C676" t="s">
        <v>45</v>
      </c>
      <c r="D676">
        <v>2025</v>
      </c>
      <c r="E676" s="1">
        <v>45710</v>
      </c>
      <c r="F676" t="s">
        <v>249</v>
      </c>
      <c r="G676" s="2">
        <v>3716194.82</v>
      </c>
      <c r="H676" s="2">
        <v>1871908.02</v>
      </c>
      <c r="I676" s="2">
        <v>4019069.64</v>
      </c>
      <c r="J676" s="2">
        <v>309399.84000000003</v>
      </c>
      <c r="K676" s="2">
        <v>960986.3</v>
      </c>
      <c r="L676">
        <v>4.4000000000000004</v>
      </c>
      <c r="M676">
        <v>46</v>
      </c>
      <c r="N676">
        <v>708</v>
      </c>
      <c r="O676">
        <v>50</v>
      </c>
      <c r="P676" t="s">
        <v>195</v>
      </c>
      <c r="Q676" t="s">
        <v>443</v>
      </c>
      <c r="R676" s="2">
        <f>Table1[[#This Row],[Global_BoxOfficeUSD]]-Table1[[#This Row],[BudgetUSD]]</f>
        <v>302874.8200000003</v>
      </c>
      <c r="S676" s="15">
        <f>Table1[[#This Row],[Profit]]/Table1[[#This Row],[BudgetUSD]]</f>
        <v>8.1501329900675198E-2</v>
      </c>
      <c r="T676" t="str">
        <f>IF(Table1[[#This Row],[ROI]]&gt;100%,"Hit","Flop")</f>
        <v>Flop</v>
      </c>
    </row>
    <row r="677" spans="1:20" x14ac:dyDescent="0.3">
      <c r="A677">
        <v>898</v>
      </c>
      <c r="B677" t="s">
        <v>1311</v>
      </c>
      <c r="C677" t="s">
        <v>77</v>
      </c>
      <c r="D677">
        <v>1990</v>
      </c>
      <c r="E677" s="1">
        <v>33226</v>
      </c>
      <c r="F677" t="s">
        <v>139</v>
      </c>
      <c r="G677" s="2">
        <v>827148.36</v>
      </c>
      <c r="H677" s="2">
        <v>1644546.81</v>
      </c>
      <c r="I677" s="2">
        <v>3955446.9</v>
      </c>
      <c r="J677" s="2">
        <v>438525.64</v>
      </c>
      <c r="K677" s="2">
        <v>664069.12</v>
      </c>
      <c r="L677">
        <v>5.4</v>
      </c>
      <c r="M677">
        <v>40</v>
      </c>
      <c r="N677">
        <v>8241</v>
      </c>
      <c r="O677">
        <v>631</v>
      </c>
      <c r="P677" t="s">
        <v>299</v>
      </c>
      <c r="Q677" t="s">
        <v>65</v>
      </c>
      <c r="R677" s="2">
        <f>Table1[[#This Row],[Global_BoxOfficeUSD]]-Table1[[#This Row],[BudgetUSD]]</f>
        <v>3128298.54</v>
      </c>
      <c r="S677" s="15">
        <f>Table1[[#This Row],[Profit]]/Table1[[#This Row],[BudgetUSD]]</f>
        <v>3.7820283413244029</v>
      </c>
      <c r="T677" t="str">
        <f>IF(Table1[[#This Row],[ROI]]&gt;100%,"Hit","Flop")</f>
        <v>Hit</v>
      </c>
    </row>
    <row r="678" spans="1:20" x14ac:dyDescent="0.3">
      <c r="A678">
        <v>749</v>
      </c>
      <c r="B678" t="s">
        <v>1168</v>
      </c>
      <c r="C678" t="s">
        <v>45</v>
      </c>
      <c r="D678">
        <v>2000</v>
      </c>
      <c r="E678" s="1">
        <v>36603</v>
      </c>
      <c r="F678" t="s">
        <v>23</v>
      </c>
      <c r="G678" s="2">
        <v>2815104.76</v>
      </c>
      <c r="H678" s="2">
        <v>1866616.1</v>
      </c>
      <c r="I678" s="2">
        <v>3952557.6</v>
      </c>
      <c r="J678" s="2">
        <v>556963.1</v>
      </c>
      <c r="K678" s="2">
        <v>819062.74</v>
      </c>
      <c r="L678">
        <v>6.8</v>
      </c>
      <c r="M678">
        <v>76</v>
      </c>
      <c r="N678">
        <v>1080</v>
      </c>
      <c r="O678">
        <v>195</v>
      </c>
      <c r="P678" t="s">
        <v>172</v>
      </c>
      <c r="Q678" t="s">
        <v>867</v>
      </c>
      <c r="R678" s="2">
        <f>Table1[[#This Row],[Global_BoxOfficeUSD]]-Table1[[#This Row],[BudgetUSD]]</f>
        <v>1137452.8400000003</v>
      </c>
      <c r="S678" s="15">
        <f>Table1[[#This Row],[Profit]]/Table1[[#This Row],[BudgetUSD]]</f>
        <v>0.40405346762299549</v>
      </c>
      <c r="T678" t="str">
        <f>IF(Table1[[#This Row],[ROI]]&gt;100%,"Hit","Flop")</f>
        <v>Flop</v>
      </c>
    </row>
    <row r="679" spans="1:20" x14ac:dyDescent="0.3">
      <c r="A679">
        <v>689</v>
      </c>
      <c r="B679" t="s">
        <v>1108</v>
      </c>
      <c r="C679" t="s">
        <v>18</v>
      </c>
      <c r="D679">
        <v>2003</v>
      </c>
      <c r="E679" s="1">
        <v>37672</v>
      </c>
      <c r="F679" t="s">
        <v>23</v>
      </c>
      <c r="G679" s="2">
        <v>3240672.99</v>
      </c>
      <c r="H679" s="2">
        <v>2703594.62</v>
      </c>
      <c r="I679" s="2">
        <v>3919847.25</v>
      </c>
      <c r="J679" s="2">
        <v>735043.1</v>
      </c>
      <c r="K679" s="2">
        <v>1290577.9099999999</v>
      </c>
      <c r="L679">
        <v>3.6</v>
      </c>
      <c r="M679">
        <v>31</v>
      </c>
      <c r="N679">
        <v>709</v>
      </c>
      <c r="O679">
        <v>88</v>
      </c>
      <c r="P679" t="s">
        <v>202</v>
      </c>
      <c r="Q679" t="s">
        <v>417</v>
      </c>
      <c r="R679" s="2">
        <f>Table1[[#This Row],[Global_BoxOfficeUSD]]-Table1[[#This Row],[BudgetUSD]]</f>
        <v>679174.25999999978</v>
      </c>
      <c r="S679" s="15">
        <f>Table1[[#This Row],[Profit]]/Table1[[#This Row],[BudgetUSD]]</f>
        <v>0.20957815308603531</v>
      </c>
      <c r="T679" t="str">
        <f>IF(Table1[[#This Row],[ROI]]&gt;100%,"Hit","Flop")</f>
        <v>Flop</v>
      </c>
    </row>
    <row r="680" spans="1:20" x14ac:dyDescent="0.3">
      <c r="A680">
        <v>164</v>
      </c>
      <c r="B680" t="s">
        <v>420</v>
      </c>
      <c r="C680" t="s">
        <v>38</v>
      </c>
      <c r="D680">
        <v>2024</v>
      </c>
      <c r="E680" s="1">
        <v>45305</v>
      </c>
      <c r="F680" t="s">
        <v>23</v>
      </c>
      <c r="G680" s="2">
        <v>3917095</v>
      </c>
      <c r="H680" s="2">
        <v>2016407.17</v>
      </c>
      <c r="I680" s="2">
        <v>3917095</v>
      </c>
      <c r="J680" s="2">
        <v>205198.16</v>
      </c>
      <c r="K680" s="2">
        <v>1039096</v>
      </c>
      <c r="L680">
        <v>6.1</v>
      </c>
      <c r="M680">
        <v>70</v>
      </c>
      <c r="N680">
        <v>729</v>
      </c>
      <c r="O680">
        <v>1321</v>
      </c>
      <c r="P680" t="s">
        <v>421</v>
      </c>
      <c r="Q680" t="s">
        <v>422</v>
      </c>
      <c r="R680" s="2">
        <f>Table1[[#This Row],[Global_BoxOfficeUSD]]-Table1[[#This Row],[BudgetUSD]]</f>
        <v>0</v>
      </c>
      <c r="S680" s="15">
        <f>Table1[[#This Row],[Profit]]/Table1[[#This Row],[BudgetUSD]]</f>
        <v>0</v>
      </c>
      <c r="T680" t="str">
        <f>IF(Table1[[#This Row],[ROI]]&gt;100%,"Hit","Flop")</f>
        <v>Flop</v>
      </c>
    </row>
    <row r="681" spans="1:20" x14ac:dyDescent="0.3">
      <c r="A681">
        <v>381</v>
      </c>
      <c r="B681" s="14" t="s">
        <v>751</v>
      </c>
      <c r="C681" t="s">
        <v>38</v>
      </c>
      <c r="D681">
        <v>2004</v>
      </c>
      <c r="E681" s="1">
        <v>38244</v>
      </c>
      <c r="F681" t="s">
        <v>642</v>
      </c>
      <c r="G681" s="2">
        <v>901943.02</v>
      </c>
      <c r="H681" s="2">
        <v>2723506.42</v>
      </c>
      <c r="I681" s="2">
        <v>3899627.75</v>
      </c>
      <c r="J681" s="2">
        <v>775137.58</v>
      </c>
      <c r="K681" s="2">
        <v>1106654.1200000001</v>
      </c>
      <c r="L681">
        <v>2.9</v>
      </c>
      <c r="M681">
        <v>16</v>
      </c>
      <c r="N681">
        <v>4807</v>
      </c>
      <c r="O681">
        <v>1121</v>
      </c>
      <c r="P681" t="s">
        <v>123</v>
      </c>
      <c r="Q681" t="s">
        <v>752</v>
      </c>
      <c r="R681" s="2">
        <f>Table1[[#This Row],[Global_BoxOfficeUSD]]-Table1[[#This Row],[BudgetUSD]]</f>
        <v>2997684.73</v>
      </c>
      <c r="S681" s="15">
        <f>Table1[[#This Row],[Profit]]/Table1[[#This Row],[BudgetUSD]]</f>
        <v>3.3235854854777855</v>
      </c>
      <c r="T681" t="str">
        <f>IF(Table1[[#This Row],[ROI]]&gt;100%,"Hit","Flop")</f>
        <v>Hit</v>
      </c>
    </row>
    <row r="682" spans="1:20" x14ac:dyDescent="0.3">
      <c r="A682">
        <v>357</v>
      </c>
      <c r="B682" t="s">
        <v>714</v>
      </c>
      <c r="C682" t="s">
        <v>77</v>
      </c>
      <c r="D682">
        <v>1990</v>
      </c>
      <c r="E682" s="1">
        <v>32893</v>
      </c>
      <c r="F682" t="s">
        <v>23</v>
      </c>
      <c r="G682" s="2">
        <v>2375111.23</v>
      </c>
      <c r="H682" s="2">
        <v>2206834.88</v>
      </c>
      <c r="I682" s="2">
        <v>3896513.98</v>
      </c>
      <c r="J682" s="2">
        <v>396333.06</v>
      </c>
      <c r="K682" s="2">
        <v>909838.52</v>
      </c>
      <c r="L682">
        <v>6.7</v>
      </c>
      <c r="M682">
        <v>69</v>
      </c>
      <c r="N682">
        <v>793</v>
      </c>
      <c r="O682">
        <v>1351</v>
      </c>
      <c r="P682" t="s">
        <v>356</v>
      </c>
      <c r="Q682" t="s">
        <v>715</v>
      </c>
      <c r="R682" s="2">
        <f>Table1[[#This Row],[Global_BoxOfficeUSD]]-Table1[[#This Row],[BudgetUSD]]</f>
        <v>1521402.75</v>
      </c>
      <c r="S682" s="15">
        <f>Table1[[#This Row],[Profit]]/Table1[[#This Row],[BudgetUSD]]</f>
        <v>0.64056063176460165</v>
      </c>
      <c r="T682" t="str">
        <f>IF(Table1[[#This Row],[ROI]]&gt;100%,"Hit","Flop")</f>
        <v>Flop</v>
      </c>
    </row>
    <row r="683" spans="1:20" x14ac:dyDescent="0.3">
      <c r="A683">
        <v>822</v>
      </c>
      <c r="B683" t="s">
        <v>1240</v>
      </c>
      <c r="C683" t="s">
        <v>18</v>
      </c>
      <c r="D683">
        <v>1998</v>
      </c>
      <c r="E683" s="1">
        <v>36011</v>
      </c>
      <c r="F683" t="s">
        <v>23</v>
      </c>
      <c r="G683" s="2">
        <v>801978.26</v>
      </c>
      <c r="H683" s="2">
        <v>2116940.14</v>
      </c>
      <c r="I683" s="2">
        <v>3870057.81</v>
      </c>
      <c r="J683" s="2">
        <v>510476.99</v>
      </c>
      <c r="K683" s="2">
        <v>1018156.49</v>
      </c>
      <c r="L683">
        <v>7.2</v>
      </c>
      <c r="M683">
        <v>60</v>
      </c>
      <c r="N683">
        <v>9165</v>
      </c>
      <c r="O683">
        <v>3831</v>
      </c>
      <c r="P683" t="s">
        <v>316</v>
      </c>
      <c r="Q683" t="s">
        <v>750</v>
      </c>
      <c r="R683" s="2">
        <f>Table1[[#This Row],[Global_BoxOfficeUSD]]-Table1[[#This Row],[BudgetUSD]]</f>
        <v>3068079.55</v>
      </c>
      <c r="S683" s="15">
        <f>Table1[[#This Row],[Profit]]/Table1[[#This Row],[BudgetUSD]]</f>
        <v>3.8256393009955154</v>
      </c>
      <c r="T683" t="str">
        <f>IF(Table1[[#This Row],[ROI]]&gt;100%,"Hit","Flop")</f>
        <v>Hit</v>
      </c>
    </row>
    <row r="684" spans="1:20" x14ac:dyDescent="0.3">
      <c r="A684">
        <v>372</v>
      </c>
      <c r="B684" t="s">
        <v>737</v>
      </c>
      <c r="C684" t="s">
        <v>107</v>
      </c>
      <c r="D684">
        <v>1956</v>
      </c>
      <c r="E684" s="1">
        <v>20624</v>
      </c>
      <c r="F684" t="s">
        <v>249</v>
      </c>
      <c r="G684" s="2">
        <v>1423807.08</v>
      </c>
      <c r="H684" s="2">
        <v>1663152.84</v>
      </c>
      <c r="I684" s="2">
        <v>3840158.56</v>
      </c>
      <c r="J684" s="2">
        <v>197431.42</v>
      </c>
      <c r="K684" s="2">
        <v>813727.97</v>
      </c>
      <c r="L684">
        <v>3.6</v>
      </c>
      <c r="M684">
        <v>32</v>
      </c>
      <c r="N684">
        <v>4538</v>
      </c>
      <c r="O684">
        <v>3014</v>
      </c>
      <c r="P684" t="s">
        <v>319</v>
      </c>
      <c r="Q684" t="s">
        <v>59</v>
      </c>
      <c r="R684" s="2">
        <f>Table1[[#This Row],[Global_BoxOfficeUSD]]-Table1[[#This Row],[BudgetUSD]]</f>
        <v>2416351.48</v>
      </c>
      <c r="S684" s="15">
        <f>Table1[[#This Row],[Profit]]/Table1[[#This Row],[BudgetUSD]]</f>
        <v>1.6971059590460809</v>
      </c>
      <c r="T684" t="str">
        <f>IF(Table1[[#This Row],[ROI]]&gt;100%,"Hit","Flop")</f>
        <v>Hit</v>
      </c>
    </row>
    <row r="685" spans="1:20" x14ac:dyDescent="0.3">
      <c r="A685">
        <v>844</v>
      </c>
      <c r="B685" t="s">
        <v>1262</v>
      </c>
      <c r="C685" t="s">
        <v>38</v>
      </c>
      <c r="D685">
        <v>1974</v>
      </c>
      <c r="E685" s="1">
        <v>27144</v>
      </c>
      <c r="F685" t="s">
        <v>23</v>
      </c>
      <c r="G685" s="2">
        <v>911390.68</v>
      </c>
      <c r="H685" s="2">
        <v>1585990.02</v>
      </c>
      <c r="I685" s="2">
        <v>3804203.53</v>
      </c>
      <c r="J685" s="2">
        <v>191566.34</v>
      </c>
      <c r="K685" s="2">
        <v>710875.32</v>
      </c>
      <c r="L685">
        <v>5.3</v>
      </c>
      <c r="M685">
        <v>51</v>
      </c>
      <c r="N685">
        <v>1451</v>
      </c>
      <c r="O685">
        <v>50</v>
      </c>
      <c r="P685" t="s">
        <v>161</v>
      </c>
      <c r="Q685" t="s">
        <v>1263</v>
      </c>
      <c r="R685" s="2">
        <f>Table1[[#This Row],[Global_BoxOfficeUSD]]-Table1[[#This Row],[BudgetUSD]]</f>
        <v>2892812.8499999996</v>
      </c>
      <c r="S685" s="15">
        <f>Table1[[#This Row],[Profit]]/Table1[[#This Row],[BudgetUSD]]</f>
        <v>3.1740645515488479</v>
      </c>
      <c r="T685" t="str">
        <f>IF(Table1[[#This Row],[ROI]]&gt;100%,"Hit","Flop")</f>
        <v>Hit</v>
      </c>
    </row>
    <row r="686" spans="1:20" x14ac:dyDescent="0.3">
      <c r="A686">
        <v>142</v>
      </c>
      <c r="B686" t="s">
        <v>373</v>
      </c>
      <c r="C686" t="s">
        <v>18</v>
      </c>
      <c r="D686">
        <v>2009</v>
      </c>
      <c r="E686" s="1">
        <v>40087</v>
      </c>
      <c r="F686" t="s">
        <v>23</v>
      </c>
      <c r="G686" s="2">
        <v>833017.26</v>
      </c>
      <c r="H686" s="2">
        <v>2555886.3199999998</v>
      </c>
      <c r="I686" s="2">
        <v>3791670.53</v>
      </c>
      <c r="J686" s="2">
        <v>260504.72</v>
      </c>
      <c r="K686" s="2">
        <v>1108373.6200000001</v>
      </c>
      <c r="L686">
        <v>5.3</v>
      </c>
      <c r="M686">
        <v>48</v>
      </c>
      <c r="N686">
        <v>2078</v>
      </c>
      <c r="O686">
        <v>114</v>
      </c>
      <c r="P686" t="s">
        <v>344</v>
      </c>
      <c r="Q686" t="s">
        <v>65</v>
      </c>
      <c r="R686" s="2">
        <f>Table1[[#This Row],[Global_BoxOfficeUSD]]-Table1[[#This Row],[BudgetUSD]]</f>
        <v>2958653.2699999996</v>
      </c>
      <c r="S686" s="15">
        <f>Table1[[#This Row],[Profit]]/Table1[[#This Row],[BudgetUSD]]</f>
        <v>3.5517310529676176</v>
      </c>
      <c r="T686" t="str">
        <f>IF(Table1[[#This Row],[ROI]]&gt;100%,"Hit","Flop")</f>
        <v>Hit</v>
      </c>
    </row>
    <row r="687" spans="1:20" x14ac:dyDescent="0.3">
      <c r="A687">
        <v>304</v>
      </c>
      <c r="B687" t="s">
        <v>647</v>
      </c>
      <c r="C687" t="s">
        <v>67</v>
      </c>
      <c r="D687">
        <v>1963</v>
      </c>
      <c r="E687" s="1">
        <v>23044</v>
      </c>
      <c r="F687" t="s">
        <v>23</v>
      </c>
      <c r="G687" s="2">
        <v>1437692.11</v>
      </c>
      <c r="H687" s="2">
        <v>2229328.27</v>
      </c>
      <c r="I687" s="2">
        <v>3781836.4</v>
      </c>
      <c r="J687" s="2">
        <v>255348.37</v>
      </c>
      <c r="K687" s="2">
        <v>1179286.8</v>
      </c>
      <c r="L687">
        <v>4.9000000000000004</v>
      </c>
      <c r="M687">
        <v>50</v>
      </c>
      <c r="N687">
        <v>2669</v>
      </c>
      <c r="O687">
        <v>1658</v>
      </c>
      <c r="P687" t="s">
        <v>310</v>
      </c>
      <c r="Q687" t="s">
        <v>290</v>
      </c>
      <c r="R687" s="2">
        <f>Table1[[#This Row],[Global_BoxOfficeUSD]]-Table1[[#This Row],[BudgetUSD]]</f>
        <v>2344144.29</v>
      </c>
      <c r="S687" s="15">
        <f>Table1[[#This Row],[Profit]]/Table1[[#This Row],[BudgetUSD]]</f>
        <v>1.6304911696288018</v>
      </c>
      <c r="T687" t="str">
        <f>IF(Table1[[#This Row],[ROI]]&gt;100%,"Hit","Flop")</f>
        <v>Hit</v>
      </c>
    </row>
    <row r="688" spans="1:20" x14ac:dyDescent="0.3">
      <c r="A688">
        <v>176</v>
      </c>
      <c r="B688" t="s">
        <v>448</v>
      </c>
      <c r="C688" t="s">
        <v>77</v>
      </c>
      <c r="D688">
        <v>1991</v>
      </c>
      <c r="E688" s="1">
        <v>33396</v>
      </c>
      <c r="F688" t="s">
        <v>34</v>
      </c>
      <c r="G688" s="2">
        <v>1480154.56</v>
      </c>
      <c r="H688" s="2">
        <v>2019589.78</v>
      </c>
      <c r="I688" s="2">
        <v>3774377.87</v>
      </c>
      <c r="J688" s="2">
        <v>254123.99</v>
      </c>
      <c r="K688" s="2">
        <v>846584.85</v>
      </c>
      <c r="L688">
        <v>8.8000000000000007</v>
      </c>
      <c r="M688">
        <v>71</v>
      </c>
      <c r="N688">
        <v>1183</v>
      </c>
      <c r="O688">
        <v>2127</v>
      </c>
      <c r="P688" t="s">
        <v>385</v>
      </c>
      <c r="Q688" t="s">
        <v>50</v>
      </c>
      <c r="R688" s="2">
        <f>Table1[[#This Row],[Global_BoxOfficeUSD]]-Table1[[#This Row],[BudgetUSD]]</f>
        <v>2294223.31</v>
      </c>
      <c r="S688" s="15">
        <f>Table1[[#This Row],[Profit]]/Table1[[#This Row],[BudgetUSD]]</f>
        <v>1.5499890160119494</v>
      </c>
      <c r="T688" t="str">
        <f>IF(Table1[[#This Row],[ROI]]&gt;100%,"Hit","Flop")</f>
        <v>Hit</v>
      </c>
    </row>
    <row r="689" spans="1:20" x14ac:dyDescent="0.3">
      <c r="A689">
        <v>12</v>
      </c>
      <c r="B689" t="s">
        <v>57</v>
      </c>
      <c r="C689" t="s">
        <v>18</v>
      </c>
      <c r="D689">
        <v>2001</v>
      </c>
      <c r="E689" s="1">
        <v>37071</v>
      </c>
      <c r="F689" t="s">
        <v>34</v>
      </c>
      <c r="G689" s="2">
        <v>995578.82</v>
      </c>
      <c r="H689" s="2">
        <v>2120910.2999999998</v>
      </c>
      <c r="I689" s="2">
        <v>3771450.73</v>
      </c>
      <c r="J689" s="2">
        <v>438402.43</v>
      </c>
      <c r="K689" s="2">
        <v>1180655.22</v>
      </c>
      <c r="L689">
        <v>8.6999999999999993</v>
      </c>
      <c r="M689">
        <v>86</v>
      </c>
      <c r="N689">
        <v>22577</v>
      </c>
      <c r="O689">
        <v>1782</v>
      </c>
      <c r="P689" t="s">
        <v>58</v>
      </c>
      <c r="Q689" t="s">
        <v>59</v>
      </c>
      <c r="R689" s="2">
        <f>Table1[[#This Row],[Global_BoxOfficeUSD]]-Table1[[#This Row],[BudgetUSD]]</f>
        <v>2775871.91</v>
      </c>
      <c r="S689" s="15">
        <f>Table1[[#This Row],[Profit]]/Table1[[#This Row],[BudgetUSD]]</f>
        <v>2.78819903983092</v>
      </c>
      <c r="T689" t="str">
        <f>IF(Table1[[#This Row],[ROI]]&gt;100%,"Hit","Flop")</f>
        <v>Hit</v>
      </c>
    </row>
    <row r="690" spans="1:20" x14ac:dyDescent="0.3">
      <c r="A690">
        <v>986</v>
      </c>
      <c r="B690" t="s">
        <v>1396</v>
      </c>
      <c r="C690" t="s">
        <v>33</v>
      </c>
      <c r="D690">
        <v>1967</v>
      </c>
      <c r="E690" s="1">
        <v>24740</v>
      </c>
      <c r="F690" t="s">
        <v>23</v>
      </c>
      <c r="G690" s="2">
        <v>3753983.44</v>
      </c>
      <c r="H690" s="2">
        <v>2452018.23</v>
      </c>
      <c r="I690" s="2">
        <v>3753983.44</v>
      </c>
      <c r="J690" s="2">
        <v>388307.19</v>
      </c>
      <c r="K690" s="2">
        <v>1326015.24</v>
      </c>
      <c r="L690">
        <v>5.8</v>
      </c>
      <c r="M690">
        <v>62</v>
      </c>
      <c r="N690">
        <v>10726</v>
      </c>
      <c r="O690">
        <v>690</v>
      </c>
      <c r="P690" t="s">
        <v>675</v>
      </c>
      <c r="Q690" t="s">
        <v>43</v>
      </c>
      <c r="R690" s="2">
        <f>Table1[[#This Row],[Global_BoxOfficeUSD]]-Table1[[#This Row],[BudgetUSD]]</f>
        <v>0</v>
      </c>
      <c r="S690" s="15">
        <f>Table1[[#This Row],[Profit]]/Table1[[#This Row],[BudgetUSD]]</f>
        <v>0</v>
      </c>
      <c r="T690" t="str">
        <f>IF(Table1[[#This Row],[ROI]]&gt;100%,"Hit","Flop")</f>
        <v>Flop</v>
      </c>
    </row>
    <row r="691" spans="1:20" x14ac:dyDescent="0.3">
      <c r="A691">
        <v>301</v>
      </c>
      <c r="B691" t="s">
        <v>641</v>
      </c>
      <c r="C691" t="s">
        <v>33</v>
      </c>
      <c r="D691">
        <v>1984</v>
      </c>
      <c r="E691" s="1">
        <v>31034</v>
      </c>
      <c r="F691" t="s">
        <v>642</v>
      </c>
      <c r="G691" s="2">
        <v>1172771.3799999999</v>
      </c>
      <c r="H691" s="2">
        <v>2397792.4500000002</v>
      </c>
      <c r="I691" s="2">
        <v>3735363.24</v>
      </c>
      <c r="J691" s="2">
        <v>592596.38</v>
      </c>
      <c r="K691" s="2">
        <v>1270073.6000000001</v>
      </c>
      <c r="L691">
        <v>3.4</v>
      </c>
      <c r="M691">
        <v>20</v>
      </c>
      <c r="N691">
        <v>3870</v>
      </c>
      <c r="O691">
        <v>6023</v>
      </c>
      <c r="P691" t="s">
        <v>643</v>
      </c>
      <c r="Q691" t="s">
        <v>564</v>
      </c>
      <c r="R691" s="2">
        <f>Table1[[#This Row],[Global_BoxOfficeUSD]]-Table1[[#This Row],[BudgetUSD]]</f>
        <v>2562591.8600000003</v>
      </c>
      <c r="S691" s="15">
        <f>Table1[[#This Row],[Profit]]/Table1[[#This Row],[BudgetUSD]]</f>
        <v>2.1850736671285418</v>
      </c>
      <c r="T691" t="str">
        <f>IF(Table1[[#This Row],[ROI]]&gt;100%,"Hit","Flop")</f>
        <v>Hit</v>
      </c>
    </row>
    <row r="692" spans="1:20" x14ac:dyDescent="0.3">
      <c r="A692">
        <v>139</v>
      </c>
      <c r="B692" t="s">
        <v>369</v>
      </c>
      <c r="C692" t="s">
        <v>18</v>
      </c>
      <c r="D692">
        <v>1988</v>
      </c>
      <c r="E692" s="1">
        <v>32443</v>
      </c>
      <c r="F692" t="s">
        <v>23</v>
      </c>
      <c r="G692" s="2">
        <v>2377856.6800000002</v>
      </c>
      <c r="H692" s="2">
        <v>2499520.88</v>
      </c>
      <c r="I692" s="2">
        <v>3709086.01</v>
      </c>
      <c r="J692" s="2">
        <v>446308.92</v>
      </c>
      <c r="K692" s="2">
        <v>1260006.56</v>
      </c>
      <c r="L692">
        <v>4.4000000000000004</v>
      </c>
      <c r="M692">
        <v>45</v>
      </c>
      <c r="N692">
        <v>1124</v>
      </c>
      <c r="O692">
        <v>55</v>
      </c>
      <c r="P692" t="s">
        <v>370</v>
      </c>
      <c r="Q692" t="s">
        <v>265</v>
      </c>
      <c r="R692" s="2">
        <f>Table1[[#This Row],[Global_BoxOfficeUSD]]-Table1[[#This Row],[BudgetUSD]]</f>
        <v>1331229.3299999996</v>
      </c>
      <c r="S692" s="15">
        <f>Table1[[#This Row],[Profit]]/Table1[[#This Row],[BudgetUSD]]</f>
        <v>0.55984422492612107</v>
      </c>
      <c r="T692" t="str">
        <f>IF(Table1[[#This Row],[ROI]]&gt;100%,"Hit","Flop")</f>
        <v>Flop</v>
      </c>
    </row>
    <row r="693" spans="1:20" x14ac:dyDescent="0.3">
      <c r="A693">
        <v>796</v>
      </c>
      <c r="B693" t="s">
        <v>1216</v>
      </c>
      <c r="C693" t="s">
        <v>77</v>
      </c>
      <c r="D693">
        <v>1952</v>
      </c>
      <c r="E693" s="1">
        <v>19266</v>
      </c>
      <c r="F693" t="s">
        <v>23</v>
      </c>
      <c r="G693" s="2">
        <v>845280.57</v>
      </c>
      <c r="H693" s="2">
        <v>1882323.38</v>
      </c>
      <c r="I693" s="2">
        <v>3701521.14</v>
      </c>
      <c r="J693" s="2">
        <v>316443.90000000002</v>
      </c>
      <c r="K693" s="2">
        <v>1101053.6000000001</v>
      </c>
      <c r="L693">
        <v>4.5</v>
      </c>
      <c r="M693">
        <v>54</v>
      </c>
      <c r="N693">
        <v>12753</v>
      </c>
      <c r="O693">
        <v>2137</v>
      </c>
      <c r="P693" t="s">
        <v>221</v>
      </c>
      <c r="Q693" t="s">
        <v>59</v>
      </c>
      <c r="R693" s="2">
        <f>Table1[[#This Row],[Global_BoxOfficeUSD]]-Table1[[#This Row],[BudgetUSD]]</f>
        <v>2856240.5700000003</v>
      </c>
      <c r="S693" s="15">
        <f>Table1[[#This Row],[Profit]]/Table1[[#This Row],[BudgetUSD]]</f>
        <v>3.3790443923252611</v>
      </c>
      <c r="T693" t="str">
        <f>IF(Table1[[#This Row],[ROI]]&gt;100%,"Hit","Flop")</f>
        <v>Hit</v>
      </c>
    </row>
    <row r="694" spans="1:20" x14ac:dyDescent="0.3">
      <c r="A694">
        <v>570</v>
      </c>
      <c r="B694" t="s">
        <v>983</v>
      </c>
      <c r="C694" t="s">
        <v>77</v>
      </c>
      <c r="D694">
        <v>1957</v>
      </c>
      <c r="E694" s="1">
        <v>20918</v>
      </c>
      <c r="F694" t="s">
        <v>23</v>
      </c>
      <c r="G694" s="2">
        <v>836361.35</v>
      </c>
      <c r="H694" s="2">
        <v>1644996.61</v>
      </c>
      <c r="I694" s="2">
        <v>3682544.59</v>
      </c>
      <c r="J694" s="2">
        <v>390899.64</v>
      </c>
      <c r="K694" s="2">
        <v>767555.76</v>
      </c>
      <c r="L694">
        <v>7.7</v>
      </c>
      <c r="M694">
        <v>66</v>
      </c>
      <c r="N694">
        <v>3391</v>
      </c>
      <c r="O694">
        <v>342</v>
      </c>
      <c r="P694" t="s">
        <v>450</v>
      </c>
      <c r="Q694" t="s">
        <v>159</v>
      </c>
      <c r="R694" s="2">
        <f>Table1[[#This Row],[Global_BoxOfficeUSD]]-Table1[[#This Row],[BudgetUSD]]</f>
        <v>2846183.2399999998</v>
      </c>
      <c r="S694" s="15">
        <f>Table1[[#This Row],[Profit]]/Table1[[#This Row],[BudgetUSD]]</f>
        <v>3.4030544811761088</v>
      </c>
      <c r="T694" t="str">
        <f>IF(Table1[[#This Row],[ROI]]&gt;100%,"Hit","Flop")</f>
        <v>Hit</v>
      </c>
    </row>
    <row r="695" spans="1:20" x14ac:dyDescent="0.3">
      <c r="A695">
        <v>768</v>
      </c>
      <c r="B695" t="s">
        <v>1191</v>
      </c>
      <c r="C695" t="s">
        <v>45</v>
      </c>
      <c r="D695">
        <v>1985</v>
      </c>
      <c r="E695" s="1">
        <v>31135</v>
      </c>
      <c r="F695" t="s">
        <v>34</v>
      </c>
      <c r="G695" s="2">
        <v>1605812.15</v>
      </c>
      <c r="H695" s="2">
        <v>2419146.2200000002</v>
      </c>
      <c r="I695" s="2">
        <v>3678291.78</v>
      </c>
      <c r="J695" s="2">
        <v>433856.3</v>
      </c>
      <c r="K695" s="2">
        <v>1264979.3700000001</v>
      </c>
      <c r="L695">
        <v>7.9</v>
      </c>
      <c r="M695">
        <v>71</v>
      </c>
      <c r="N695">
        <v>2071</v>
      </c>
      <c r="O695">
        <v>4717</v>
      </c>
      <c r="P695" t="s">
        <v>164</v>
      </c>
      <c r="Q695" t="s">
        <v>480</v>
      </c>
      <c r="R695" s="2">
        <f>Table1[[#This Row],[Global_BoxOfficeUSD]]-Table1[[#This Row],[BudgetUSD]]</f>
        <v>2072479.63</v>
      </c>
      <c r="S695" s="15">
        <f>Table1[[#This Row],[Profit]]/Table1[[#This Row],[BudgetUSD]]</f>
        <v>1.29061150147606</v>
      </c>
      <c r="T695" t="str">
        <f>IF(Table1[[#This Row],[ROI]]&gt;100%,"Hit","Flop")</f>
        <v>Hit</v>
      </c>
    </row>
    <row r="696" spans="1:20" x14ac:dyDescent="0.3">
      <c r="A696">
        <v>696</v>
      </c>
      <c r="B696" t="s">
        <v>1115</v>
      </c>
      <c r="C696" t="s">
        <v>67</v>
      </c>
      <c r="D696">
        <v>2009</v>
      </c>
      <c r="E696" s="1">
        <v>40047</v>
      </c>
      <c r="F696" t="s">
        <v>267</v>
      </c>
      <c r="G696" s="2">
        <v>2427941.04</v>
      </c>
      <c r="H696" s="2">
        <v>2059419.12</v>
      </c>
      <c r="I696" s="2">
        <v>3673648.65</v>
      </c>
      <c r="J696" s="2">
        <v>563714.96</v>
      </c>
      <c r="K696" s="2">
        <v>936165.6</v>
      </c>
      <c r="L696">
        <v>6.2</v>
      </c>
      <c r="M696">
        <v>53</v>
      </c>
      <c r="N696">
        <v>2419</v>
      </c>
      <c r="O696">
        <v>768</v>
      </c>
      <c r="P696" t="s">
        <v>458</v>
      </c>
      <c r="Q696" t="s">
        <v>170</v>
      </c>
      <c r="R696" s="2">
        <f>Table1[[#This Row],[Global_BoxOfficeUSD]]-Table1[[#This Row],[BudgetUSD]]</f>
        <v>1245707.6099999999</v>
      </c>
      <c r="S696" s="15">
        <f>Table1[[#This Row],[Profit]]/Table1[[#This Row],[BudgetUSD]]</f>
        <v>0.51307160654939132</v>
      </c>
      <c r="T696" t="str">
        <f>IF(Table1[[#This Row],[ROI]]&gt;100%,"Hit","Flop")</f>
        <v>Flop</v>
      </c>
    </row>
    <row r="697" spans="1:20" x14ac:dyDescent="0.3">
      <c r="A697">
        <v>772</v>
      </c>
      <c r="B697" t="s">
        <v>1194</v>
      </c>
      <c r="C697" t="s">
        <v>18</v>
      </c>
      <c r="D697">
        <v>2008</v>
      </c>
      <c r="E697" s="1">
        <v>39568</v>
      </c>
      <c r="F697" t="s">
        <v>23</v>
      </c>
      <c r="G697" s="2">
        <v>1485497.53</v>
      </c>
      <c r="H697" s="2">
        <v>2470874.9700000002</v>
      </c>
      <c r="I697" s="2">
        <v>3670644.53</v>
      </c>
      <c r="J697" s="2">
        <v>502094.58</v>
      </c>
      <c r="K697" s="2">
        <v>1263406.58</v>
      </c>
      <c r="L697">
        <v>6.7</v>
      </c>
      <c r="M697">
        <v>82</v>
      </c>
      <c r="N697">
        <v>2551</v>
      </c>
      <c r="O697">
        <v>50</v>
      </c>
      <c r="P697" t="s">
        <v>234</v>
      </c>
      <c r="Q697" t="s">
        <v>486</v>
      </c>
      <c r="R697" s="2">
        <f>Table1[[#This Row],[Global_BoxOfficeUSD]]-Table1[[#This Row],[BudgetUSD]]</f>
        <v>2185147</v>
      </c>
      <c r="S697" s="15">
        <f>Table1[[#This Row],[Profit]]/Table1[[#This Row],[BudgetUSD]]</f>
        <v>1.4709866262786717</v>
      </c>
      <c r="T697" t="str">
        <f>IF(Table1[[#This Row],[ROI]]&gt;100%,"Hit","Flop")</f>
        <v>Hit</v>
      </c>
    </row>
    <row r="698" spans="1:20" x14ac:dyDescent="0.3">
      <c r="A698">
        <v>660</v>
      </c>
      <c r="B698" t="s">
        <v>1080</v>
      </c>
      <c r="C698" t="s">
        <v>38</v>
      </c>
      <c r="D698">
        <v>2013</v>
      </c>
      <c r="E698" s="1">
        <v>41487</v>
      </c>
      <c r="F698" t="s">
        <v>642</v>
      </c>
      <c r="G698" s="2">
        <v>3265542.89</v>
      </c>
      <c r="H698" s="2">
        <v>2260330.41</v>
      </c>
      <c r="I698" s="2">
        <v>3664873.78</v>
      </c>
      <c r="J698" s="2">
        <v>547452.21</v>
      </c>
      <c r="K698" s="2">
        <v>1263342.69</v>
      </c>
      <c r="L698">
        <v>8</v>
      </c>
      <c r="M698">
        <v>76</v>
      </c>
      <c r="N698">
        <v>3743</v>
      </c>
      <c r="O698">
        <v>60</v>
      </c>
      <c r="P698" t="s">
        <v>205</v>
      </c>
      <c r="Q698" t="s">
        <v>69</v>
      </c>
      <c r="R698" s="2">
        <f>Table1[[#This Row],[Global_BoxOfficeUSD]]-Table1[[#This Row],[BudgetUSD]]</f>
        <v>399330.88999999966</v>
      </c>
      <c r="S698" s="15">
        <f>Table1[[#This Row],[Profit]]/Table1[[#This Row],[BudgetUSD]]</f>
        <v>0.12228621808118394</v>
      </c>
      <c r="T698" t="str">
        <f>IF(Table1[[#This Row],[ROI]]&gt;100%,"Hit","Flop")</f>
        <v>Flop</v>
      </c>
    </row>
    <row r="699" spans="1:20" x14ac:dyDescent="0.3">
      <c r="A699">
        <v>770</v>
      </c>
      <c r="B699" t="s">
        <v>1193</v>
      </c>
      <c r="C699" t="s">
        <v>18</v>
      </c>
      <c r="D699">
        <v>1974</v>
      </c>
      <c r="E699" s="1">
        <v>27129</v>
      </c>
      <c r="F699" t="s">
        <v>642</v>
      </c>
      <c r="G699" s="2">
        <v>864249</v>
      </c>
      <c r="H699" s="2">
        <v>2013854.26</v>
      </c>
      <c r="I699" s="2">
        <v>3656301.35</v>
      </c>
      <c r="J699" s="2">
        <v>454498.43</v>
      </c>
      <c r="K699" s="2">
        <v>1018967.21</v>
      </c>
      <c r="L699">
        <v>7.6</v>
      </c>
      <c r="M699">
        <v>77</v>
      </c>
      <c r="N699">
        <v>10859</v>
      </c>
      <c r="O699">
        <v>103</v>
      </c>
      <c r="P699" t="s">
        <v>202</v>
      </c>
      <c r="Q699" t="s">
        <v>462</v>
      </c>
      <c r="R699" s="2">
        <f>Table1[[#This Row],[Global_BoxOfficeUSD]]-Table1[[#This Row],[BudgetUSD]]</f>
        <v>2792052.35</v>
      </c>
      <c r="S699" s="15">
        <f>Table1[[#This Row],[Profit]]/Table1[[#This Row],[BudgetUSD]]</f>
        <v>3.2306110276089415</v>
      </c>
      <c r="T699" t="str">
        <f>IF(Table1[[#This Row],[ROI]]&gt;100%,"Hit","Flop")</f>
        <v>Hit</v>
      </c>
    </row>
    <row r="700" spans="1:20" x14ac:dyDescent="0.3">
      <c r="A700">
        <v>252</v>
      </c>
      <c r="B700" t="s">
        <v>572</v>
      </c>
      <c r="C700" t="s">
        <v>18</v>
      </c>
      <c r="D700">
        <v>2018</v>
      </c>
      <c r="E700" s="1">
        <v>43204</v>
      </c>
      <c r="F700" t="s">
        <v>23</v>
      </c>
      <c r="G700" s="2">
        <v>969677.21</v>
      </c>
      <c r="H700" s="2">
        <v>1476403.05</v>
      </c>
      <c r="I700" s="2">
        <v>3642867.29</v>
      </c>
      <c r="J700" s="2">
        <v>359286.72</v>
      </c>
      <c r="K700" s="2">
        <v>635678.61</v>
      </c>
      <c r="L700">
        <v>6.6</v>
      </c>
      <c r="M700">
        <v>68</v>
      </c>
      <c r="N700">
        <v>1038</v>
      </c>
      <c r="O700">
        <v>50</v>
      </c>
      <c r="P700" t="s">
        <v>573</v>
      </c>
      <c r="Q700" t="s">
        <v>574</v>
      </c>
      <c r="R700" s="2">
        <f>Table1[[#This Row],[Global_BoxOfficeUSD]]-Table1[[#This Row],[BudgetUSD]]</f>
        <v>2673190.08</v>
      </c>
      <c r="S700" s="15">
        <f>Table1[[#This Row],[Profit]]/Table1[[#This Row],[BudgetUSD]]</f>
        <v>2.7567834454931659</v>
      </c>
      <c r="T700" t="str">
        <f>IF(Table1[[#This Row],[ROI]]&gt;100%,"Hit","Flop")</f>
        <v>Hit</v>
      </c>
    </row>
    <row r="701" spans="1:20" x14ac:dyDescent="0.3">
      <c r="A701">
        <v>2</v>
      </c>
      <c r="B701" t="s">
        <v>22</v>
      </c>
      <c r="C701" t="s">
        <v>18</v>
      </c>
      <c r="D701">
        <v>1988</v>
      </c>
      <c r="E701" s="1">
        <v>32187</v>
      </c>
      <c r="F701" t="s">
        <v>23</v>
      </c>
      <c r="G701" s="2">
        <v>1883810.1</v>
      </c>
      <c r="H701" s="2">
        <v>1930949.15</v>
      </c>
      <c r="I701" s="2">
        <v>3637731.12</v>
      </c>
      <c r="J701" s="2">
        <v>247115.74</v>
      </c>
      <c r="K701" s="2">
        <v>831828.84</v>
      </c>
      <c r="L701">
        <v>5.2</v>
      </c>
      <c r="M701">
        <v>44</v>
      </c>
      <c r="N701">
        <v>1708</v>
      </c>
      <c r="O701">
        <v>220</v>
      </c>
      <c r="P701" t="s">
        <v>24</v>
      </c>
      <c r="Q701" t="s">
        <v>25</v>
      </c>
      <c r="R701" s="2">
        <f>Table1[[#This Row],[Global_BoxOfficeUSD]]-Table1[[#This Row],[BudgetUSD]]</f>
        <v>1753921.02</v>
      </c>
      <c r="S701" s="15">
        <f>Table1[[#This Row],[Profit]]/Table1[[#This Row],[BudgetUSD]]</f>
        <v>0.93104980167586948</v>
      </c>
      <c r="T701" t="str">
        <f>IF(Table1[[#This Row],[ROI]]&gt;100%,"Hit","Flop")</f>
        <v>Flop</v>
      </c>
    </row>
    <row r="702" spans="1:20" x14ac:dyDescent="0.3">
      <c r="A702">
        <v>452</v>
      </c>
      <c r="B702" t="s">
        <v>844</v>
      </c>
      <c r="C702" t="s">
        <v>77</v>
      </c>
      <c r="D702">
        <v>1965</v>
      </c>
      <c r="E702" s="1">
        <v>23846</v>
      </c>
      <c r="F702" t="s">
        <v>23</v>
      </c>
      <c r="G702" s="2">
        <v>836693.56</v>
      </c>
      <c r="H702" s="2">
        <v>2058597.64</v>
      </c>
      <c r="I702" s="2">
        <v>3631007.54</v>
      </c>
      <c r="J702" s="2">
        <v>337322.3</v>
      </c>
      <c r="K702" s="2">
        <v>876849.99</v>
      </c>
      <c r="L702">
        <v>7.2</v>
      </c>
      <c r="M702">
        <v>76</v>
      </c>
      <c r="N702">
        <v>48333</v>
      </c>
      <c r="O702">
        <v>3311</v>
      </c>
      <c r="P702" t="s">
        <v>146</v>
      </c>
      <c r="Q702" t="s">
        <v>399</v>
      </c>
      <c r="R702" s="2">
        <f>Table1[[#This Row],[Global_BoxOfficeUSD]]-Table1[[#This Row],[BudgetUSD]]</f>
        <v>2794313.98</v>
      </c>
      <c r="S702" s="15">
        <f>Table1[[#This Row],[Profit]]/Table1[[#This Row],[BudgetUSD]]</f>
        <v>3.339710156248842</v>
      </c>
      <c r="T702" t="str">
        <f>IF(Table1[[#This Row],[ROI]]&gt;100%,"Hit","Flop")</f>
        <v>Hit</v>
      </c>
    </row>
    <row r="703" spans="1:20" x14ac:dyDescent="0.3">
      <c r="A703">
        <v>105</v>
      </c>
      <c r="B703" t="s">
        <v>297</v>
      </c>
      <c r="C703" t="s">
        <v>38</v>
      </c>
      <c r="D703">
        <v>2005</v>
      </c>
      <c r="E703" s="1">
        <v>38506</v>
      </c>
      <c r="F703" t="s">
        <v>23</v>
      </c>
      <c r="G703" s="2">
        <v>3611629.64</v>
      </c>
      <c r="H703" s="2">
        <v>1974872.18</v>
      </c>
      <c r="I703" s="2">
        <v>3611629.64</v>
      </c>
      <c r="J703" s="2">
        <v>222872.11</v>
      </c>
      <c r="K703" s="2">
        <v>1080178.44</v>
      </c>
      <c r="L703">
        <v>8</v>
      </c>
      <c r="M703">
        <v>77</v>
      </c>
      <c r="N703">
        <v>608</v>
      </c>
      <c r="O703">
        <v>50</v>
      </c>
      <c r="P703" t="s">
        <v>146</v>
      </c>
      <c r="Q703" t="s">
        <v>256</v>
      </c>
      <c r="R703" s="2">
        <f>Table1[[#This Row],[Global_BoxOfficeUSD]]-Table1[[#This Row],[BudgetUSD]]</f>
        <v>0</v>
      </c>
      <c r="S703" s="15">
        <f>Table1[[#This Row],[Profit]]/Table1[[#This Row],[BudgetUSD]]</f>
        <v>0</v>
      </c>
      <c r="T703" t="str">
        <f>IF(Table1[[#This Row],[ROI]]&gt;100%,"Hit","Flop")</f>
        <v>Flop</v>
      </c>
    </row>
    <row r="704" spans="1:20" x14ac:dyDescent="0.3">
      <c r="A704">
        <v>298</v>
      </c>
      <c r="B704" t="s">
        <v>636</v>
      </c>
      <c r="C704" t="s">
        <v>38</v>
      </c>
      <c r="D704">
        <v>2012</v>
      </c>
      <c r="E704" s="1">
        <v>41118</v>
      </c>
      <c r="F704" t="s">
        <v>23</v>
      </c>
      <c r="G704" s="2">
        <v>3558423.01</v>
      </c>
      <c r="H704" s="2">
        <v>1664668.49</v>
      </c>
      <c r="I704" s="2">
        <v>3558423.01</v>
      </c>
      <c r="J704" s="2">
        <v>345299.59</v>
      </c>
      <c r="K704" s="2">
        <v>859091.79</v>
      </c>
      <c r="L704">
        <v>8.1999999999999993</v>
      </c>
      <c r="M704">
        <v>88</v>
      </c>
      <c r="N704">
        <v>717</v>
      </c>
      <c r="O704">
        <v>106466</v>
      </c>
      <c r="P704" t="s">
        <v>479</v>
      </c>
      <c r="Q704" t="s">
        <v>637</v>
      </c>
      <c r="R704" s="2">
        <f>Table1[[#This Row],[Global_BoxOfficeUSD]]-Table1[[#This Row],[BudgetUSD]]</f>
        <v>0</v>
      </c>
      <c r="S704" s="15">
        <f>Table1[[#This Row],[Profit]]/Table1[[#This Row],[BudgetUSD]]</f>
        <v>0</v>
      </c>
      <c r="T704" t="str">
        <f>IF(Table1[[#This Row],[ROI]]&gt;100%,"Hit","Flop")</f>
        <v>Flop</v>
      </c>
    </row>
    <row r="705" spans="1:20" x14ac:dyDescent="0.3">
      <c r="A705">
        <v>549</v>
      </c>
      <c r="B705" t="s">
        <v>960</v>
      </c>
      <c r="C705" t="s">
        <v>67</v>
      </c>
      <c r="D705">
        <v>2001</v>
      </c>
      <c r="E705" s="1">
        <v>37026</v>
      </c>
      <c r="F705" t="s">
        <v>23</v>
      </c>
      <c r="G705" s="2">
        <v>777375.55</v>
      </c>
      <c r="H705" s="2">
        <v>2331112.21</v>
      </c>
      <c r="I705" s="2">
        <v>3531000</v>
      </c>
      <c r="J705" s="2">
        <v>413678.52</v>
      </c>
      <c r="K705" s="2">
        <v>1015900.02</v>
      </c>
      <c r="L705">
        <v>10</v>
      </c>
      <c r="M705">
        <v>100</v>
      </c>
      <c r="N705">
        <v>2811</v>
      </c>
      <c r="O705">
        <v>8032</v>
      </c>
      <c r="P705" t="s">
        <v>523</v>
      </c>
      <c r="Q705" t="s">
        <v>69</v>
      </c>
      <c r="R705" s="2">
        <f>Table1[[#This Row],[Global_BoxOfficeUSD]]-Table1[[#This Row],[BudgetUSD]]</f>
        <v>2753624.45</v>
      </c>
      <c r="S705" s="15">
        <f>Table1[[#This Row],[Profit]]/Table1[[#This Row],[BudgetUSD]]</f>
        <v>3.5422061447649082</v>
      </c>
      <c r="T705" t="str">
        <f>IF(Table1[[#This Row],[ROI]]&gt;100%,"Hit","Flop")</f>
        <v>Hit</v>
      </c>
    </row>
    <row r="706" spans="1:20" x14ac:dyDescent="0.3">
      <c r="A706">
        <v>707</v>
      </c>
      <c r="B706" t="s">
        <v>1126</v>
      </c>
      <c r="C706" t="s">
        <v>18</v>
      </c>
      <c r="D706">
        <v>2019</v>
      </c>
      <c r="E706" s="1">
        <v>43561</v>
      </c>
      <c r="F706" t="s">
        <v>23</v>
      </c>
      <c r="G706" s="2">
        <v>788074.06</v>
      </c>
      <c r="H706" s="2">
        <v>2124863.39</v>
      </c>
      <c r="I706" s="2">
        <v>3521223.37</v>
      </c>
      <c r="J706" s="2">
        <v>222236.03</v>
      </c>
      <c r="K706" s="2">
        <v>1215772.81</v>
      </c>
      <c r="L706">
        <v>8.1999999999999993</v>
      </c>
      <c r="M706">
        <v>82</v>
      </c>
      <c r="N706">
        <v>12757</v>
      </c>
      <c r="O706">
        <v>548</v>
      </c>
      <c r="P706" t="s">
        <v>368</v>
      </c>
      <c r="Q706" t="s">
        <v>134</v>
      </c>
      <c r="R706" s="2">
        <f>Table1[[#This Row],[Global_BoxOfficeUSD]]-Table1[[#This Row],[BudgetUSD]]</f>
        <v>2733149.31</v>
      </c>
      <c r="S706" s="15">
        <f>Table1[[#This Row],[Profit]]/Table1[[#This Row],[BudgetUSD]]</f>
        <v>3.4681376392467476</v>
      </c>
      <c r="T706" t="str">
        <f>IF(Table1[[#This Row],[ROI]]&gt;100%,"Hit","Flop")</f>
        <v>Hit</v>
      </c>
    </row>
    <row r="707" spans="1:20" x14ac:dyDescent="0.3">
      <c r="A707">
        <v>241</v>
      </c>
      <c r="B707" t="s">
        <v>555</v>
      </c>
      <c r="C707" t="s">
        <v>18</v>
      </c>
      <c r="D707">
        <v>1966</v>
      </c>
      <c r="E707" s="1">
        <v>24111</v>
      </c>
      <c r="F707" t="s">
        <v>23</v>
      </c>
      <c r="G707" s="2">
        <v>1051425.54</v>
      </c>
      <c r="H707" s="2">
        <v>2447774.4500000002</v>
      </c>
      <c r="I707" s="2">
        <v>3511151.72</v>
      </c>
      <c r="J707" s="2">
        <v>662726.81000000006</v>
      </c>
      <c r="K707" s="2">
        <v>1432299.47</v>
      </c>
      <c r="L707">
        <v>7.3</v>
      </c>
      <c r="M707">
        <v>70</v>
      </c>
      <c r="N707">
        <v>1031</v>
      </c>
      <c r="O707">
        <v>107</v>
      </c>
      <c r="P707" t="s">
        <v>87</v>
      </c>
      <c r="Q707" t="s">
        <v>353</v>
      </c>
      <c r="R707" s="2">
        <f>Table1[[#This Row],[Global_BoxOfficeUSD]]-Table1[[#This Row],[BudgetUSD]]</f>
        <v>2459726.1800000002</v>
      </c>
      <c r="S707" s="15">
        <f>Table1[[#This Row],[Profit]]/Table1[[#This Row],[BudgetUSD]]</f>
        <v>2.3394202313175692</v>
      </c>
      <c r="T707" t="str">
        <f>IF(Table1[[#This Row],[ROI]]&gt;100%,"Hit","Flop")</f>
        <v>Hit</v>
      </c>
    </row>
    <row r="708" spans="1:20" x14ac:dyDescent="0.3">
      <c r="A708">
        <v>367</v>
      </c>
      <c r="B708" t="s">
        <v>730</v>
      </c>
      <c r="C708" t="s">
        <v>18</v>
      </c>
      <c r="D708">
        <v>1999</v>
      </c>
      <c r="E708" s="1">
        <v>36250</v>
      </c>
      <c r="F708" t="s">
        <v>23</v>
      </c>
      <c r="G708" s="2">
        <v>1004313.68</v>
      </c>
      <c r="H708" s="2">
        <v>1848697.36</v>
      </c>
      <c r="I708" s="2">
        <v>3472667.91</v>
      </c>
      <c r="J708" s="2">
        <v>492519.67999999999</v>
      </c>
      <c r="K708" s="2">
        <v>906392.8</v>
      </c>
      <c r="L708">
        <v>7.5</v>
      </c>
      <c r="M708">
        <v>80</v>
      </c>
      <c r="N708">
        <v>128</v>
      </c>
      <c r="O708">
        <v>286</v>
      </c>
      <c r="P708" t="s">
        <v>158</v>
      </c>
      <c r="Q708" t="s">
        <v>731</v>
      </c>
      <c r="R708" s="2">
        <f>Table1[[#This Row],[Global_BoxOfficeUSD]]-Table1[[#This Row],[BudgetUSD]]</f>
        <v>2468354.23</v>
      </c>
      <c r="S708" s="15">
        <f>Table1[[#This Row],[Profit]]/Table1[[#This Row],[BudgetUSD]]</f>
        <v>2.4577522731742536</v>
      </c>
      <c r="T708" t="str">
        <f>IF(Table1[[#This Row],[ROI]]&gt;100%,"Hit","Flop")</f>
        <v>Hit</v>
      </c>
    </row>
    <row r="709" spans="1:20" x14ac:dyDescent="0.3">
      <c r="A709">
        <v>256</v>
      </c>
      <c r="B709" t="s">
        <v>581</v>
      </c>
      <c r="C709" t="s">
        <v>77</v>
      </c>
      <c r="D709">
        <v>1990</v>
      </c>
      <c r="E709" s="1">
        <v>33203</v>
      </c>
      <c r="F709" t="s">
        <v>23</v>
      </c>
      <c r="G709" s="2">
        <v>692190.19</v>
      </c>
      <c r="H709" s="2">
        <v>2186815.12</v>
      </c>
      <c r="I709" s="2">
        <v>3460799.78</v>
      </c>
      <c r="J709" s="2">
        <v>410773.84</v>
      </c>
      <c r="K709" s="2">
        <v>967195.32</v>
      </c>
      <c r="L709">
        <v>4.5999999999999996</v>
      </c>
      <c r="M709">
        <v>32</v>
      </c>
      <c r="N709">
        <v>27883</v>
      </c>
      <c r="O709">
        <v>1239</v>
      </c>
      <c r="P709" t="s">
        <v>83</v>
      </c>
      <c r="Q709" t="s">
        <v>170</v>
      </c>
      <c r="R709" s="2">
        <f>Table1[[#This Row],[Global_BoxOfficeUSD]]-Table1[[#This Row],[BudgetUSD]]</f>
        <v>2768609.59</v>
      </c>
      <c r="S709" s="15">
        <f>Table1[[#This Row],[Profit]]/Table1[[#This Row],[BudgetUSD]]</f>
        <v>3.9997816062663358</v>
      </c>
      <c r="T709" t="str">
        <f>IF(Table1[[#This Row],[ROI]]&gt;100%,"Hit","Flop")</f>
        <v>Hit</v>
      </c>
    </row>
    <row r="710" spans="1:20" x14ac:dyDescent="0.3">
      <c r="A710">
        <v>657</v>
      </c>
      <c r="B710" t="s">
        <v>1077</v>
      </c>
      <c r="C710" t="s">
        <v>67</v>
      </c>
      <c r="D710">
        <v>1996</v>
      </c>
      <c r="E710" s="1">
        <v>35429</v>
      </c>
      <c r="F710" t="s">
        <v>23</v>
      </c>
      <c r="G710" s="2">
        <v>1342840.45</v>
      </c>
      <c r="H710" s="2">
        <v>2081727.35</v>
      </c>
      <c r="I710" s="2">
        <v>3435598.41</v>
      </c>
      <c r="J710" s="2">
        <v>359244.86</v>
      </c>
      <c r="K710" s="2">
        <v>902645.37</v>
      </c>
      <c r="L710">
        <v>8.8000000000000007</v>
      </c>
      <c r="M710">
        <v>71</v>
      </c>
      <c r="N710">
        <v>45548</v>
      </c>
      <c r="O710">
        <v>70</v>
      </c>
      <c r="P710" t="s">
        <v>111</v>
      </c>
      <c r="Q710" t="s">
        <v>178</v>
      </c>
      <c r="R710" s="2">
        <f>Table1[[#This Row],[Global_BoxOfficeUSD]]-Table1[[#This Row],[BudgetUSD]]</f>
        <v>2092757.9600000002</v>
      </c>
      <c r="S710" s="15">
        <f>Table1[[#This Row],[Profit]]/Table1[[#This Row],[BudgetUSD]]</f>
        <v>1.5584561516597153</v>
      </c>
      <c r="T710" t="str">
        <f>IF(Table1[[#This Row],[ROI]]&gt;100%,"Hit","Flop")</f>
        <v>Hit</v>
      </c>
    </row>
    <row r="711" spans="1:20" x14ac:dyDescent="0.3">
      <c r="A711">
        <v>41</v>
      </c>
      <c r="B711" t="s">
        <v>143</v>
      </c>
      <c r="C711" t="s">
        <v>86</v>
      </c>
      <c r="D711">
        <v>1993</v>
      </c>
      <c r="E711" s="1">
        <v>34071</v>
      </c>
      <c r="F711" t="s">
        <v>23</v>
      </c>
      <c r="G711" s="2">
        <v>1144198.3700000001</v>
      </c>
      <c r="H711" s="2">
        <v>2258528.34</v>
      </c>
      <c r="I711" s="2">
        <v>3404123.13</v>
      </c>
      <c r="J711" s="2">
        <v>538761.77</v>
      </c>
      <c r="K711" s="2">
        <v>1146165.6599999999</v>
      </c>
      <c r="L711">
        <v>4.2</v>
      </c>
      <c r="M711">
        <v>47</v>
      </c>
      <c r="N711">
        <v>4131</v>
      </c>
      <c r="O711">
        <v>9710</v>
      </c>
      <c r="P711" t="s">
        <v>90</v>
      </c>
      <c r="Q711" t="s">
        <v>144</v>
      </c>
      <c r="R711" s="2">
        <f>Table1[[#This Row],[Global_BoxOfficeUSD]]-Table1[[#This Row],[BudgetUSD]]</f>
        <v>2259924.7599999998</v>
      </c>
      <c r="S711" s="15">
        <f>Table1[[#This Row],[Profit]]/Table1[[#This Row],[BudgetUSD]]</f>
        <v>1.9751162204504797</v>
      </c>
      <c r="T711" t="str">
        <f>IF(Table1[[#This Row],[ROI]]&gt;100%,"Hit","Flop")</f>
        <v>Hit</v>
      </c>
    </row>
    <row r="712" spans="1:20" x14ac:dyDescent="0.3">
      <c r="A712">
        <v>255</v>
      </c>
      <c r="B712" t="s">
        <v>579</v>
      </c>
      <c r="C712" t="s">
        <v>18</v>
      </c>
      <c r="D712">
        <v>1998</v>
      </c>
      <c r="E712" s="1">
        <v>35878</v>
      </c>
      <c r="F712" t="s">
        <v>23</v>
      </c>
      <c r="G712" s="2">
        <v>2167894.2999999998</v>
      </c>
      <c r="H712" s="2">
        <v>1522938.01</v>
      </c>
      <c r="I712" s="2">
        <v>3378581.97</v>
      </c>
      <c r="J712" s="2">
        <v>436607.51</v>
      </c>
      <c r="K712" s="2">
        <v>784312.98</v>
      </c>
      <c r="L712">
        <v>7.3</v>
      </c>
      <c r="M712">
        <v>81</v>
      </c>
      <c r="N712">
        <v>1285</v>
      </c>
      <c r="O712">
        <v>869</v>
      </c>
      <c r="P712" t="s">
        <v>221</v>
      </c>
      <c r="Q712" t="s">
        <v>580</v>
      </c>
      <c r="R712" s="2">
        <f>Table1[[#This Row],[Global_BoxOfficeUSD]]-Table1[[#This Row],[BudgetUSD]]</f>
        <v>1210687.6700000004</v>
      </c>
      <c r="S712" s="15">
        <f>Table1[[#This Row],[Profit]]/Table1[[#This Row],[BudgetUSD]]</f>
        <v>0.55846249976301909</v>
      </c>
      <c r="T712" t="str">
        <f>IF(Table1[[#This Row],[ROI]]&gt;100%,"Hit","Flop")</f>
        <v>Flop</v>
      </c>
    </row>
    <row r="713" spans="1:20" x14ac:dyDescent="0.3">
      <c r="A713">
        <v>433</v>
      </c>
      <c r="B713" t="s">
        <v>817</v>
      </c>
      <c r="C713" t="s">
        <v>86</v>
      </c>
      <c r="D713">
        <v>2004</v>
      </c>
      <c r="E713" s="1">
        <v>38340</v>
      </c>
      <c r="F713" t="s">
        <v>23</v>
      </c>
      <c r="G713" s="2">
        <v>2501450.7999999998</v>
      </c>
      <c r="H713" s="2">
        <v>1395162.42</v>
      </c>
      <c r="I713" s="2">
        <v>3372605.41</v>
      </c>
      <c r="J713" s="2">
        <v>415618.62</v>
      </c>
      <c r="K713" s="2">
        <v>666331.03</v>
      </c>
      <c r="L713">
        <v>7.4</v>
      </c>
      <c r="M713">
        <v>70</v>
      </c>
      <c r="N713">
        <v>3168</v>
      </c>
      <c r="O713">
        <v>4370</v>
      </c>
      <c r="P713" t="s">
        <v>421</v>
      </c>
      <c r="Q713" t="s">
        <v>288</v>
      </c>
      <c r="R713" s="2">
        <f>Table1[[#This Row],[Global_BoxOfficeUSD]]-Table1[[#This Row],[BudgetUSD]]</f>
        <v>871154.61000000034</v>
      </c>
      <c r="S713" s="15">
        <f>Table1[[#This Row],[Profit]]/Table1[[#This Row],[BudgetUSD]]</f>
        <v>0.34825974190657694</v>
      </c>
      <c r="T713" t="str">
        <f>IF(Table1[[#This Row],[ROI]]&gt;100%,"Hit","Flop")</f>
        <v>Flop</v>
      </c>
    </row>
    <row r="714" spans="1:20" x14ac:dyDescent="0.3">
      <c r="A714">
        <v>346</v>
      </c>
      <c r="B714" t="s">
        <v>700</v>
      </c>
      <c r="C714" t="s">
        <v>86</v>
      </c>
      <c r="D714">
        <v>2014</v>
      </c>
      <c r="E714" s="1">
        <v>41671</v>
      </c>
      <c r="F714" t="s">
        <v>23</v>
      </c>
      <c r="G714" s="2">
        <v>726805.68</v>
      </c>
      <c r="H714" s="2">
        <v>1770475.37</v>
      </c>
      <c r="I714" s="2">
        <v>3357074.67</v>
      </c>
      <c r="J714" s="2">
        <v>199780.57</v>
      </c>
      <c r="K714" s="2">
        <v>832976.72</v>
      </c>
      <c r="L714">
        <v>8.1999999999999993</v>
      </c>
      <c r="M714">
        <v>98</v>
      </c>
      <c r="N714">
        <v>6264</v>
      </c>
      <c r="O714">
        <v>59</v>
      </c>
      <c r="P714" t="s">
        <v>430</v>
      </c>
      <c r="Q714" t="s">
        <v>141</v>
      </c>
      <c r="R714" s="2">
        <f>Table1[[#This Row],[Global_BoxOfficeUSD]]-Table1[[#This Row],[BudgetUSD]]</f>
        <v>2630268.9899999998</v>
      </c>
      <c r="S714" s="15">
        <f>Table1[[#This Row],[Profit]]/Table1[[#This Row],[BudgetUSD]]</f>
        <v>3.6189439108401018</v>
      </c>
      <c r="T714" t="str">
        <f>IF(Table1[[#This Row],[ROI]]&gt;100%,"Hit","Flop")</f>
        <v>Hit</v>
      </c>
    </row>
    <row r="715" spans="1:20" x14ac:dyDescent="0.3">
      <c r="A715">
        <v>882</v>
      </c>
      <c r="B715" t="s">
        <v>1296</v>
      </c>
      <c r="C715" t="s">
        <v>33</v>
      </c>
      <c r="D715">
        <v>1975</v>
      </c>
      <c r="E715" s="1">
        <v>27628</v>
      </c>
      <c r="F715" t="s">
        <v>23</v>
      </c>
      <c r="G715" s="2">
        <v>2435713.02</v>
      </c>
      <c r="H715" s="2">
        <v>2150332.5699999998</v>
      </c>
      <c r="I715" s="2">
        <v>3341520.58</v>
      </c>
      <c r="J715" s="2">
        <v>422198.7</v>
      </c>
      <c r="K715" s="2">
        <v>973096.35</v>
      </c>
      <c r="L715">
        <v>8.1999999999999993</v>
      </c>
      <c r="M715">
        <v>85</v>
      </c>
      <c r="N715">
        <v>905</v>
      </c>
      <c r="O715">
        <v>50</v>
      </c>
      <c r="P715" t="s">
        <v>865</v>
      </c>
      <c r="Q715" t="s">
        <v>1297</v>
      </c>
      <c r="R715" s="2">
        <f>Table1[[#This Row],[Global_BoxOfficeUSD]]-Table1[[#This Row],[BudgetUSD]]</f>
        <v>905807.56</v>
      </c>
      <c r="S715" s="15">
        <f>Table1[[#This Row],[Profit]]/Table1[[#This Row],[BudgetUSD]]</f>
        <v>0.37188599500937924</v>
      </c>
      <c r="T715" t="str">
        <f>IF(Table1[[#This Row],[ROI]]&gt;100%,"Hit","Flop")</f>
        <v>Flop</v>
      </c>
    </row>
    <row r="716" spans="1:20" x14ac:dyDescent="0.3">
      <c r="A716">
        <v>703</v>
      </c>
      <c r="B716" t="s">
        <v>1122</v>
      </c>
      <c r="C716" t="s">
        <v>38</v>
      </c>
      <c r="D716">
        <v>2007</v>
      </c>
      <c r="E716" s="1">
        <v>39131</v>
      </c>
      <c r="F716" t="s">
        <v>23</v>
      </c>
      <c r="G716" s="2">
        <v>3236706.12</v>
      </c>
      <c r="H716" s="2">
        <v>1583117.35</v>
      </c>
      <c r="I716" s="2">
        <v>3336772.16</v>
      </c>
      <c r="J716" s="2">
        <v>441991.7</v>
      </c>
      <c r="K716" s="2">
        <v>866459.22</v>
      </c>
      <c r="L716">
        <v>4.5</v>
      </c>
      <c r="M716">
        <v>48</v>
      </c>
      <c r="N716">
        <v>295</v>
      </c>
      <c r="O716">
        <v>135</v>
      </c>
      <c r="P716" t="s">
        <v>114</v>
      </c>
      <c r="Q716" t="s">
        <v>196</v>
      </c>
      <c r="R716" s="2">
        <f>Table1[[#This Row],[Global_BoxOfficeUSD]]-Table1[[#This Row],[BudgetUSD]]</f>
        <v>100066.04000000004</v>
      </c>
      <c r="S716" s="15">
        <f>Table1[[#This Row],[Profit]]/Table1[[#This Row],[BudgetUSD]]</f>
        <v>3.0916010379094916E-2</v>
      </c>
      <c r="T716" t="str">
        <f>IF(Table1[[#This Row],[ROI]]&gt;100%,"Hit","Flop")</f>
        <v>Flop</v>
      </c>
    </row>
    <row r="717" spans="1:20" x14ac:dyDescent="0.3">
      <c r="A717">
        <v>541</v>
      </c>
      <c r="B717" t="s">
        <v>951</v>
      </c>
      <c r="C717" t="s">
        <v>67</v>
      </c>
      <c r="D717">
        <v>1969</v>
      </c>
      <c r="E717" s="1">
        <v>25267</v>
      </c>
      <c r="F717" t="s">
        <v>19</v>
      </c>
      <c r="G717" s="2">
        <v>929642.18</v>
      </c>
      <c r="H717" s="2">
        <v>1923240.82</v>
      </c>
      <c r="I717" s="2">
        <v>3333229.85</v>
      </c>
      <c r="J717" s="2">
        <v>285492.96999999997</v>
      </c>
      <c r="K717" s="2">
        <v>1003957.85</v>
      </c>
      <c r="L717">
        <v>9.6999999999999993</v>
      </c>
      <c r="M717">
        <v>84</v>
      </c>
      <c r="N717">
        <v>5659</v>
      </c>
      <c r="O717">
        <v>3700</v>
      </c>
      <c r="P717" t="s">
        <v>20</v>
      </c>
      <c r="Q717" t="s">
        <v>952</v>
      </c>
      <c r="R717" s="2">
        <f>Table1[[#This Row],[Global_BoxOfficeUSD]]-Table1[[#This Row],[BudgetUSD]]</f>
        <v>2403587.67</v>
      </c>
      <c r="S717" s="15">
        <f>Table1[[#This Row],[Profit]]/Table1[[#This Row],[BudgetUSD]]</f>
        <v>2.5854976481381255</v>
      </c>
      <c r="T717" t="str">
        <f>IF(Table1[[#This Row],[ROI]]&gt;100%,"Hit","Flop")</f>
        <v>Hit</v>
      </c>
    </row>
    <row r="718" spans="1:20" x14ac:dyDescent="0.3">
      <c r="A718">
        <v>55</v>
      </c>
      <c r="B718" t="s">
        <v>181</v>
      </c>
      <c r="C718" t="s">
        <v>67</v>
      </c>
      <c r="D718">
        <v>2000</v>
      </c>
      <c r="E718" s="1">
        <v>36871</v>
      </c>
      <c r="F718" t="s">
        <v>23</v>
      </c>
      <c r="G718" s="2">
        <v>691258.28</v>
      </c>
      <c r="H718" s="2">
        <v>1787495.32</v>
      </c>
      <c r="I718" s="2">
        <v>3332775.16</v>
      </c>
      <c r="J718" s="2">
        <v>333772.73</v>
      </c>
      <c r="K718" s="2">
        <v>785631.86</v>
      </c>
      <c r="L718">
        <v>7.2</v>
      </c>
      <c r="M718">
        <v>74</v>
      </c>
      <c r="N718">
        <v>125</v>
      </c>
      <c r="O718">
        <v>6518</v>
      </c>
      <c r="P718" t="s">
        <v>156</v>
      </c>
      <c r="Q718" t="s">
        <v>182</v>
      </c>
      <c r="R718" s="2">
        <f>Table1[[#This Row],[Global_BoxOfficeUSD]]-Table1[[#This Row],[BudgetUSD]]</f>
        <v>2641516.88</v>
      </c>
      <c r="S718" s="15">
        <f>Table1[[#This Row],[Profit]]/Table1[[#This Row],[BudgetUSD]]</f>
        <v>3.8213168021654651</v>
      </c>
      <c r="T718" t="str">
        <f>IF(Table1[[#This Row],[ROI]]&gt;100%,"Hit","Flop")</f>
        <v>Hit</v>
      </c>
    </row>
    <row r="719" spans="1:20" x14ac:dyDescent="0.3">
      <c r="A719">
        <v>682</v>
      </c>
      <c r="B719" t="s">
        <v>1102</v>
      </c>
      <c r="C719" t="s">
        <v>38</v>
      </c>
      <c r="D719">
        <v>2022</v>
      </c>
      <c r="E719" s="1">
        <v>44632</v>
      </c>
      <c r="F719" t="s">
        <v>23</v>
      </c>
      <c r="G719" s="2">
        <v>889448.95999999996</v>
      </c>
      <c r="H719" s="2">
        <v>2222627.02</v>
      </c>
      <c r="I719" s="2">
        <v>3322091.04</v>
      </c>
      <c r="J719" s="2">
        <v>610212.44999999995</v>
      </c>
      <c r="K719" s="2">
        <v>1225870.81</v>
      </c>
      <c r="L719">
        <v>10</v>
      </c>
      <c r="M719">
        <v>100</v>
      </c>
      <c r="N719">
        <v>4648</v>
      </c>
      <c r="O719">
        <v>1274</v>
      </c>
      <c r="P719" t="s">
        <v>769</v>
      </c>
      <c r="Q719" t="s">
        <v>550</v>
      </c>
      <c r="R719" s="2">
        <f>Table1[[#This Row],[Global_BoxOfficeUSD]]-Table1[[#This Row],[BudgetUSD]]</f>
        <v>2432642.08</v>
      </c>
      <c r="S719" s="15">
        <f>Table1[[#This Row],[Profit]]/Table1[[#This Row],[BudgetUSD]]</f>
        <v>2.7349990717848498</v>
      </c>
      <c r="T719" t="str">
        <f>IF(Table1[[#This Row],[ROI]]&gt;100%,"Hit","Flop")</f>
        <v>Hit</v>
      </c>
    </row>
    <row r="720" spans="1:20" x14ac:dyDescent="0.3">
      <c r="A720">
        <v>715</v>
      </c>
      <c r="B720" t="s">
        <v>1134</v>
      </c>
      <c r="C720" t="s">
        <v>38</v>
      </c>
      <c r="D720">
        <v>1963</v>
      </c>
      <c r="E720" s="1">
        <v>23280</v>
      </c>
      <c r="F720" t="s">
        <v>23</v>
      </c>
      <c r="G720" s="2">
        <v>1123099.1599999999</v>
      </c>
      <c r="H720" s="2">
        <v>1854080.35</v>
      </c>
      <c r="I720" s="2">
        <v>3301746.42</v>
      </c>
      <c r="J720" s="2">
        <v>438651.47</v>
      </c>
      <c r="K720" s="2">
        <v>905486.06</v>
      </c>
      <c r="L720">
        <v>6.7</v>
      </c>
      <c r="M720">
        <v>87</v>
      </c>
      <c r="N720">
        <v>712</v>
      </c>
      <c r="O720">
        <v>2833</v>
      </c>
      <c r="P720" t="s">
        <v>227</v>
      </c>
      <c r="Q720" t="s">
        <v>447</v>
      </c>
      <c r="R720" s="2">
        <f>Table1[[#This Row],[Global_BoxOfficeUSD]]-Table1[[#This Row],[BudgetUSD]]</f>
        <v>2178647.2599999998</v>
      </c>
      <c r="S720" s="15">
        <f>Table1[[#This Row],[Profit]]/Table1[[#This Row],[BudgetUSD]]</f>
        <v>1.9398529868012722</v>
      </c>
      <c r="T720" t="str">
        <f>IF(Table1[[#This Row],[ROI]]&gt;100%,"Hit","Flop")</f>
        <v>Hit</v>
      </c>
    </row>
    <row r="721" spans="1:20" x14ac:dyDescent="0.3">
      <c r="A721">
        <v>224</v>
      </c>
      <c r="B721" t="s">
        <v>531</v>
      </c>
      <c r="C721" t="s">
        <v>18</v>
      </c>
      <c r="D721">
        <v>2005</v>
      </c>
      <c r="E721" s="1">
        <v>38698</v>
      </c>
      <c r="F721" t="s">
        <v>23</v>
      </c>
      <c r="G721" s="2">
        <v>3296803.78</v>
      </c>
      <c r="H721" s="2">
        <v>1596184.13</v>
      </c>
      <c r="I721" s="2">
        <v>3296803.78</v>
      </c>
      <c r="J721" s="2">
        <v>251763.04</v>
      </c>
      <c r="K721" s="2">
        <v>736430.28</v>
      </c>
      <c r="L721">
        <v>8.1</v>
      </c>
      <c r="M721">
        <v>85</v>
      </c>
      <c r="N721">
        <v>15121</v>
      </c>
      <c r="O721">
        <v>561</v>
      </c>
      <c r="P721" t="s">
        <v>111</v>
      </c>
      <c r="Q721" t="s">
        <v>532</v>
      </c>
      <c r="R721" s="2">
        <f>Table1[[#This Row],[Global_BoxOfficeUSD]]-Table1[[#This Row],[BudgetUSD]]</f>
        <v>0</v>
      </c>
      <c r="S721" s="15">
        <f>Table1[[#This Row],[Profit]]/Table1[[#This Row],[BudgetUSD]]</f>
        <v>0</v>
      </c>
      <c r="T721" t="str">
        <f>IF(Table1[[#This Row],[ROI]]&gt;100%,"Hit","Flop")</f>
        <v>Flop</v>
      </c>
    </row>
    <row r="722" spans="1:20" x14ac:dyDescent="0.3">
      <c r="A722">
        <v>756</v>
      </c>
      <c r="B722" t="s">
        <v>1177</v>
      </c>
      <c r="C722" t="s">
        <v>18</v>
      </c>
      <c r="D722">
        <v>2024</v>
      </c>
      <c r="E722" s="1">
        <v>45615</v>
      </c>
      <c r="F722" t="s">
        <v>23</v>
      </c>
      <c r="G722" s="2">
        <v>958059.18</v>
      </c>
      <c r="H722" s="2">
        <v>2061737.1</v>
      </c>
      <c r="I722" s="2">
        <v>3292800.5</v>
      </c>
      <c r="J722" s="2">
        <v>483637.27</v>
      </c>
      <c r="K722" s="2">
        <v>876223.69</v>
      </c>
      <c r="L722">
        <v>6</v>
      </c>
      <c r="M722">
        <v>73</v>
      </c>
      <c r="N722">
        <v>361</v>
      </c>
      <c r="O722">
        <v>10898</v>
      </c>
      <c r="P722" t="s">
        <v>61</v>
      </c>
      <c r="Q722" t="s">
        <v>570</v>
      </c>
      <c r="R722" s="2">
        <f>Table1[[#This Row],[Global_BoxOfficeUSD]]-Table1[[#This Row],[BudgetUSD]]</f>
        <v>2334741.3199999998</v>
      </c>
      <c r="S722" s="15">
        <f>Table1[[#This Row],[Profit]]/Table1[[#This Row],[BudgetUSD]]</f>
        <v>2.4369489575790086</v>
      </c>
      <c r="T722" t="str">
        <f>IF(Table1[[#This Row],[ROI]]&gt;100%,"Hit","Flop")</f>
        <v>Hit</v>
      </c>
    </row>
    <row r="723" spans="1:20" x14ac:dyDescent="0.3">
      <c r="A723">
        <v>75</v>
      </c>
      <c r="B723" t="s">
        <v>230</v>
      </c>
      <c r="C723" t="s">
        <v>67</v>
      </c>
      <c r="D723">
        <v>1978</v>
      </c>
      <c r="E723" s="1">
        <v>28814</v>
      </c>
      <c r="F723" t="s">
        <v>23</v>
      </c>
      <c r="G723" s="2">
        <v>3253702.72</v>
      </c>
      <c r="H723" s="2">
        <v>1888422.64</v>
      </c>
      <c r="I723" s="2">
        <v>3253702.72</v>
      </c>
      <c r="J723" s="2">
        <v>432116.9</v>
      </c>
      <c r="K723" s="2">
        <v>871417.04</v>
      </c>
      <c r="L723">
        <v>4.0999999999999996</v>
      </c>
      <c r="M723">
        <v>28</v>
      </c>
      <c r="N723">
        <v>4483</v>
      </c>
      <c r="O723">
        <v>3266</v>
      </c>
      <c r="P723" t="s">
        <v>231</v>
      </c>
      <c r="Q723" t="s">
        <v>232</v>
      </c>
      <c r="R723" s="2">
        <f>Table1[[#This Row],[Global_BoxOfficeUSD]]-Table1[[#This Row],[BudgetUSD]]</f>
        <v>0</v>
      </c>
      <c r="S723" s="15">
        <f>Table1[[#This Row],[Profit]]/Table1[[#This Row],[BudgetUSD]]</f>
        <v>0</v>
      </c>
      <c r="T723" t="str">
        <f>IF(Table1[[#This Row],[ROI]]&gt;100%,"Hit","Flop")</f>
        <v>Flop</v>
      </c>
    </row>
    <row r="724" spans="1:20" x14ac:dyDescent="0.3">
      <c r="A724">
        <v>658</v>
      </c>
      <c r="B724" t="s">
        <v>1078</v>
      </c>
      <c r="C724" t="s">
        <v>33</v>
      </c>
      <c r="D724">
        <v>2002</v>
      </c>
      <c r="E724" s="1">
        <v>37598</v>
      </c>
      <c r="F724" t="s">
        <v>318</v>
      </c>
      <c r="G724" s="2">
        <v>1225308.1399999999</v>
      </c>
      <c r="H724" s="2">
        <v>1597676.55</v>
      </c>
      <c r="I724" s="2">
        <v>3251437.49</v>
      </c>
      <c r="J724" s="2">
        <v>350350.31</v>
      </c>
      <c r="K724" s="2">
        <v>859345.68</v>
      </c>
      <c r="L724">
        <v>8.5</v>
      </c>
      <c r="M724">
        <v>89</v>
      </c>
      <c r="N724">
        <v>8081</v>
      </c>
      <c r="O724">
        <v>1501</v>
      </c>
      <c r="P724" t="s">
        <v>80</v>
      </c>
      <c r="Q724" t="s">
        <v>364</v>
      </c>
      <c r="R724" s="2">
        <f>Table1[[#This Row],[Global_BoxOfficeUSD]]-Table1[[#This Row],[BudgetUSD]]</f>
        <v>2026129.3500000003</v>
      </c>
      <c r="S724" s="15">
        <f>Table1[[#This Row],[Profit]]/Table1[[#This Row],[BudgetUSD]]</f>
        <v>1.6535671998392181</v>
      </c>
      <c r="T724" t="str">
        <f>IF(Table1[[#This Row],[ROI]]&gt;100%,"Hit","Flop")</f>
        <v>Hit</v>
      </c>
    </row>
    <row r="725" spans="1:20" x14ac:dyDescent="0.3">
      <c r="A725">
        <v>571</v>
      </c>
      <c r="B725" t="s">
        <v>984</v>
      </c>
      <c r="C725" t="s">
        <v>38</v>
      </c>
      <c r="D725">
        <v>2007</v>
      </c>
      <c r="E725" s="1">
        <v>39422</v>
      </c>
      <c r="F725" t="s">
        <v>23</v>
      </c>
      <c r="G725" s="2">
        <v>2208157.7200000002</v>
      </c>
      <c r="H725" s="2">
        <v>1563039.79</v>
      </c>
      <c r="I725" s="2">
        <v>3245377.59</v>
      </c>
      <c r="J725" s="2">
        <v>353520</v>
      </c>
      <c r="K725" s="2">
        <v>769977.52</v>
      </c>
      <c r="L725">
        <v>6.8</v>
      </c>
      <c r="M725">
        <v>75</v>
      </c>
      <c r="N725">
        <v>269</v>
      </c>
      <c r="O725">
        <v>281</v>
      </c>
      <c r="P725" t="s">
        <v>302</v>
      </c>
      <c r="Q725" t="s">
        <v>84</v>
      </c>
      <c r="R725" s="2">
        <f>Table1[[#This Row],[Global_BoxOfficeUSD]]-Table1[[#This Row],[BudgetUSD]]</f>
        <v>1037219.8699999996</v>
      </c>
      <c r="S725" s="15">
        <f>Table1[[#This Row],[Profit]]/Table1[[#This Row],[BudgetUSD]]</f>
        <v>0.46972182313136562</v>
      </c>
      <c r="T725" t="str">
        <f>IF(Table1[[#This Row],[ROI]]&gt;100%,"Hit","Flop")</f>
        <v>Flop</v>
      </c>
    </row>
    <row r="726" spans="1:20" x14ac:dyDescent="0.3">
      <c r="A726">
        <v>928</v>
      </c>
      <c r="B726" t="s">
        <v>1335</v>
      </c>
      <c r="C726" t="s">
        <v>38</v>
      </c>
      <c r="D726">
        <v>1979</v>
      </c>
      <c r="E726" s="1">
        <v>29186</v>
      </c>
      <c r="F726" t="s">
        <v>23</v>
      </c>
      <c r="G726" s="2">
        <v>1230376.8600000001</v>
      </c>
      <c r="H726" s="2">
        <v>1681284.06</v>
      </c>
      <c r="I726" s="2">
        <v>3244499.88</v>
      </c>
      <c r="J726" s="2">
        <v>309343.82</v>
      </c>
      <c r="K726" s="2">
        <v>873637.76</v>
      </c>
      <c r="L726">
        <v>4.3</v>
      </c>
      <c r="M726">
        <v>22</v>
      </c>
      <c r="N726">
        <v>7590</v>
      </c>
      <c r="O726">
        <v>57</v>
      </c>
      <c r="P726" t="s">
        <v>39</v>
      </c>
      <c r="Q726" t="s">
        <v>93</v>
      </c>
      <c r="R726" s="2">
        <f>Table1[[#This Row],[Global_BoxOfficeUSD]]-Table1[[#This Row],[BudgetUSD]]</f>
        <v>2014123.0199999998</v>
      </c>
      <c r="S726" s="15">
        <f>Table1[[#This Row],[Profit]]/Table1[[#This Row],[BudgetUSD]]</f>
        <v>1.6369968303857727</v>
      </c>
      <c r="T726" t="str">
        <f>IF(Table1[[#This Row],[ROI]]&gt;100%,"Hit","Flop")</f>
        <v>Hit</v>
      </c>
    </row>
    <row r="727" spans="1:20" x14ac:dyDescent="0.3">
      <c r="A727">
        <v>257</v>
      </c>
      <c r="B727" t="s">
        <v>582</v>
      </c>
      <c r="C727" t="s">
        <v>18</v>
      </c>
      <c r="D727">
        <v>1994</v>
      </c>
      <c r="E727" s="1">
        <v>34496</v>
      </c>
      <c r="F727" t="s">
        <v>23</v>
      </c>
      <c r="G727" s="2">
        <v>2590192.12</v>
      </c>
      <c r="H727" s="2">
        <v>2207965.0699999998</v>
      </c>
      <c r="I727" s="2">
        <v>3234565.33</v>
      </c>
      <c r="J727" s="2">
        <v>377204.46</v>
      </c>
      <c r="K727" s="2">
        <v>1088844.3999999999</v>
      </c>
      <c r="L727">
        <v>6.4</v>
      </c>
      <c r="M727">
        <v>66</v>
      </c>
      <c r="N727">
        <v>21600</v>
      </c>
      <c r="O727">
        <v>283</v>
      </c>
      <c r="P727" t="s">
        <v>430</v>
      </c>
      <c r="Q727" t="s">
        <v>196</v>
      </c>
      <c r="R727" s="2">
        <f>Table1[[#This Row],[Global_BoxOfficeUSD]]-Table1[[#This Row],[BudgetUSD]]</f>
        <v>644373.21</v>
      </c>
      <c r="S727" s="15">
        <f>Table1[[#This Row],[Profit]]/Table1[[#This Row],[BudgetUSD]]</f>
        <v>0.24877429169230889</v>
      </c>
      <c r="T727" t="str">
        <f>IF(Table1[[#This Row],[ROI]]&gt;100%,"Hit","Flop")</f>
        <v>Flop</v>
      </c>
    </row>
    <row r="728" spans="1:20" x14ac:dyDescent="0.3">
      <c r="A728">
        <v>206</v>
      </c>
      <c r="B728" t="s">
        <v>502</v>
      </c>
      <c r="C728" t="s">
        <v>86</v>
      </c>
      <c r="D728">
        <v>1996</v>
      </c>
      <c r="E728" s="1">
        <v>35352</v>
      </c>
      <c r="F728" t="s">
        <v>23</v>
      </c>
      <c r="G728" s="2">
        <v>886508.16</v>
      </c>
      <c r="H728" s="2">
        <v>1877817.66</v>
      </c>
      <c r="I728" s="2">
        <v>3194509.24</v>
      </c>
      <c r="J728" s="2">
        <v>334634.26</v>
      </c>
      <c r="K728" s="2">
        <v>939734.66</v>
      </c>
      <c r="L728">
        <v>7.8</v>
      </c>
      <c r="M728">
        <v>83</v>
      </c>
      <c r="N728">
        <v>5834</v>
      </c>
      <c r="O728">
        <v>676</v>
      </c>
      <c r="P728" t="s">
        <v>503</v>
      </c>
      <c r="Q728" t="s">
        <v>394</v>
      </c>
      <c r="R728" s="2">
        <f>Table1[[#This Row],[Global_BoxOfficeUSD]]-Table1[[#This Row],[BudgetUSD]]</f>
        <v>2308001.08</v>
      </c>
      <c r="S728" s="15">
        <f>Table1[[#This Row],[Profit]]/Table1[[#This Row],[BudgetUSD]]</f>
        <v>2.6034741518904911</v>
      </c>
      <c r="T728" t="str">
        <f>IF(Table1[[#This Row],[ROI]]&gt;100%,"Hit","Flop")</f>
        <v>Hit</v>
      </c>
    </row>
    <row r="729" spans="1:20" x14ac:dyDescent="0.3">
      <c r="A729">
        <v>93</v>
      </c>
      <c r="B729" t="s">
        <v>273</v>
      </c>
      <c r="C729" t="s">
        <v>86</v>
      </c>
      <c r="D729">
        <v>1988</v>
      </c>
      <c r="E729" s="1">
        <v>32404</v>
      </c>
      <c r="F729" t="s">
        <v>152</v>
      </c>
      <c r="G729" s="2">
        <v>681709.43</v>
      </c>
      <c r="H729" s="2">
        <v>1942184.28</v>
      </c>
      <c r="I729" s="2">
        <v>3190720.65</v>
      </c>
      <c r="J729" s="2">
        <v>197447.69</v>
      </c>
      <c r="K729" s="2">
        <v>849457.52</v>
      </c>
      <c r="L729">
        <v>8.6</v>
      </c>
      <c r="M729">
        <v>82</v>
      </c>
      <c r="N729">
        <v>12762</v>
      </c>
      <c r="O729">
        <v>5849</v>
      </c>
      <c r="P729" t="s">
        <v>187</v>
      </c>
      <c r="Q729" t="s">
        <v>222</v>
      </c>
      <c r="R729" s="2">
        <f>Table1[[#This Row],[Global_BoxOfficeUSD]]-Table1[[#This Row],[BudgetUSD]]</f>
        <v>2509011.2199999997</v>
      </c>
      <c r="S729" s="15">
        <f>Table1[[#This Row],[Profit]]/Table1[[#This Row],[BudgetUSD]]</f>
        <v>3.680470167472965</v>
      </c>
      <c r="T729" t="str">
        <f>IF(Table1[[#This Row],[ROI]]&gt;100%,"Hit","Flop")</f>
        <v>Hit</v>
      </c>
    </row>
    <row r="730" spans="1:20" x14ac:dyDescent="0.3">
      <c r="A730">
        <v>423</v>
      </c>
      <c r="B730" t="s">
        <v>807</v>
      </c>
      <c r="C730" t="s">
        <v>38</v>
      </c>
      <c r="D730">
        <v>1983</v>
      </c>
      <c r="E730" s="1">
        <v>30430</v>
      </c>
      <c r="F730" t="s">
        <v>23</v>
      </c>
      <c r="G730" s="2">
        <v>743744.63</v>
      </c>
      <c r="H730" s="2">
        <v>2090871.12</v>
      </c>
      <c r="I730" s="2">
        <v>3187513.48</v>
      </c>
      <c r="J730" s="2">
        <v>340462.08000000002</v>
      </c>
      <c r="K730" s="2">
        <v>881311.59</v>
      </c>
      <c r="L730">
        <v>6.5</v>
      </c>
      <c r="M730">
        <v>69</v>
      </c>
      <c r="N730">
        <v>314</v>
      </c>
      <c r="O730">
        <v>12102</v>
      </c>
      <c r="P730" t="s">
        <v>609</v>
      </c>
      <c r="Q730" t="s">
        <v>664</v>
      </c>
      <c r="R730" s="2">
        <f>Table1[[#This Row],[Global_BoxOfficeUSD]]-Table1[[#This Row],[BudgetUSD]]</f>
        <v>2443768.85</v>
      </c>
      <c r="S730" s="15">
        <f>Table1[[#This Row],[Profit]]/Table1[[#This Row],[BudgetUSD]]</f>
        <v>3.2857633540157463</v>
      </c>
      <c r="T730" t="str">
        <f>IF(Table1[[#This Row],[ROI]]&gt;100%,"Hit","Flop")</f>
        <v>Hit</v>
      </c>
    </row>
    <row r="731" spans="1:20" x14ac:dyDescent="0.3">
      <c r="A731">
        <v>192</v>
      </c>
      <c r="B731" t="s">
        <v>474</v>
      </c>
      <c r="C731" t="s">
        <v>77</v>
      </c>
      <c r="D731">
        <v>1984</v>
      </c>
      <c r="E731" s="1">
        <v>30803</v>
      </c>
      <c r="F731" t="s">
        <v>23</v>
      </c>
      <c r="G731" s="2">
        <v>979849.52</v>
      </c>
      <c r="H731" s="2">
        <v>1907940.78</v>
      </c>
      <c r="I731" s="2">
        <v>3152960.41</v>
      </c>
      <c r="J731" s="2">
        <v>325971.28999999998</v>
      </c>
      <c r="K731" s="2">
        <v>898655.4</v>
      </c>
      <c r="L731">
        <v>8.4</v>
      </c>
      <c r="M731">
        <v>81</v>
      </c>
      <c r="N731">
        <v>6148</v>
      </c>
      <c r="O731">
        <v>50</v>
      </c>
      <c r="P731" t="s">
        <v>458</v>
      </c>
      <c r="Q731" t="s">
        <v>31</v>
      </c>
      <c r="R731" s="2">
        <f>Table1[[#This Row],[Global_BoxOfficeUSD]]-Table1[[#This Row],[BudgetUSD]]</f>
        <v>2173110.89</v>
      </c>
      <c r="S731" s="15">
        <f>Table1[[#This Row],[Profit]]/Table1[[#This Row],[BudgetUSD]]</f>
        <v>2.2178006373876675</v>
      </c>
      <c r="T731" t="str">
        <f>IF(Table1[[#This Row],[ROI]]&gt;100%,"Hit","Flop")</f>
        <v>Hit</v>
      </c>
    </row>
    <row r="732" spans="1:20" x14ac:dyDescent="0.3">
      <c r="A732">
        <v>394</v>
      </c>
      <c r="B732" t="s">
        <v>563</v>
      </c>
      <c r="C732" t="s">
        <v>67</v>
      </c>
      <c r="D732">
        <v>1979</v>
      </c>
      <c r="E732" s="1">
        <v>28862</v>
      </c>
      <c r="F732" t="s">
        <v>23</v>
      </c>
      <c r="G732" s="2">
        <v>1736125.4</v>
      </c>
      <c r="H732" s="2">
        <v>2169289.58</v>
      </c>
      <c r="I732" s="2">
        <v>3149166.84</v>
      </c>
      <c r="J732" s="2">
        <v>501093.61</v>
      </c>
      <c r="K732" s="2">
        <v>1177848.9099999999</v>
      </c>
      <c r="L732">
        <v>6.8</v>
      </c>
      <c r="M732">
        <v>68</v>
      </c>
      <c r="N732">
        <v>14650</v>
      </c>
      <c r="O732">
        <v>24390</v>
      </c>
      <c r="P732" t="s">
        <v>599</v>
      </c>
      <c r="Q732" t="s">
        <v>109</v>
      </c>
      <c r="R732" s="2">
        <f>Table1[[#This Row],[Global_BoxOfficeUSD]]-Table1[[#This Row],[BudgetUSD]]</f>
        <v>1413041.44</v>
      </c>
      <c r="S732" s="15">
        <f>Table1[[#This Row],[Profit]]/Table1[[#This Row],[BudgetUSD]]</f>
        <v>0.81390517067488333</v>
      </c>
      <c r="T732" t="str">
        <f>IF(Table1[[#This Row],[ROI]]&gt;100%,"Hit","Flop")</f>
        <v>Flop</v>
      </c>
    </row>
    <row r="733" spans="1:20" x14ac:dyDescent="0.3">
      <c r="A733">
        <v>613</v>
      </c>
      <c r="B733" t="s">
        <v>1032</v>
      </c>
      <c r="C733" t="s">
        <v>45</v>
      </c>
      <c r="D733">
        <v>1962</v>
      </c>
      <c r="E733" s="1">
        <v>22849</v>
      </c>
      <c r="F733" t="s">
        <v>23</v>
      </c>
      <c r="G733" s="2">
        <v>3141411.43</v>
      </c>
      <c r="H733" s="2">
        <v>1961955.8</v>
      </c>
      <c r="I733" s="2">
        <v>3141411.43</v>
      </c>
      <c r="J733" s="2">
        <v>415842.21</v>
      </c>
      <c r="K733" s="2">
        <v>1134808.95</v>
      </c>
      <c r="L733">
        <v>7.4</v>
      </c>
      <c r="M733">
        <v>70</v>
      </c>
      <c r="N733">
        <v>509</v>
      </c>
      <c r="O733">
        <v>1249</v>
      </c>
      <c r="P733" t="s">
        <v>360</v>
      </c>
      <c r="Q733" t="s">
        <v>144</v>
      </c>
      <c r="R733" s="2">
        <f>Table1[[#This Row],[Global_BoxOfficeUSD]]-Table1[[#This Row],[BudgetUSD]]</f>
        <v>0</v>
      </c>
      <c r="S733" s="15">
        <f>Table1[[#This Row],[Profit]]/Table1[[#This Row],[BudgetUSD]]</f>
        <v>0</v>
      </c>
      <c r="T733" t="str">
        <f>IF(Table1[[#This Row],[ROI]]&gt;100%,"Hit","Flop")</f>
        <v>Flop</v>
      </c>
    </row>
    <row r="734" spans="1:20" x14ac:dyDescent="0.3">
      <c r="A734">
        <v>712</v>
      </c>
      <c r="B734" t="s">
        <v>1131</v>
      </c>
      <c r="C734" t="s">
        <v>45</v>
      </c>
      <c r="D734">
        <v>1983</v>
      </c>
      <c r="E734" s="1">
        <v>30636</v>
      </c>
      <c r="F734" t="s">
        <v>23</v>
      </c>
      <c r="G734" s="2">
        <v>2179651.7999999998</v>
      </c>
      <c r="H734" s="2">
        <v>1247959.8999999999</v>
      </c>
      <c r="I734" s="2">
        <v>3114346.6</v>
      </c>
      <c r="J734" s="2">
        <v>177630.07</v>
      </c>
      <c r="K734" s="2">
        <v>722330.78</v>
      </c>
      <c r="L734">
        <v>5.7</v>
      </c>
      <c r="M734">
        <v>61</v>
      </c>
      <c r="N734">
        <v>3358</v>
      </c>
      <c r="O734">
        <v>1343</v>
      </c>
      <c r="P734" t="s">
        <v>167</v>
      </c>
      <c r="Q734" t="s">
        <v>578</v>
      </c>
      <c r="R734" s="2">
        <f>Table1[[#This Row],[Global_BoxOfficeUSD]]-Table1[[#This Row],[BudgetUSD]]</f>
        <v>934694.80000000028</v>
      </c>
      <c r="S734" s="15">
        <f>Table1[[#This Row],[Profit]]/Table1[[#This Row],[BudgetUSD]]</f>
        <v>0.4288275769551817</v>
      </c>
      <c r="T734" t="str">
        <f>IF(Table1[[#This Row],[ROI]]&gt;100%,"Hit","Flop")</f>
        <v>Flop</v>
      </c>
    </row>
    <row r="735" spans="1:20" x14ac:dyDescent="0.3">
      <c r="A735">
        <v>5</v>
      </c>
      <c r="B735" t="s">
        <v>32</v>
      </c>
      <c r="C735" t="s">
        <v>33</v>
      </c>
      <c r="D735">
        <v>2021</v>
      </c>
      <c r="E735" s="1">
        <v>44547</v>
      </c>
      <c r="F735" t="s">
        <v>34</v>
      </c>
      <c r="G735" s="2">
        <v>900915.86</v>
      </c>
      <c r="H735" s="2">
        <v>2129629.1</v>
      </c>
      <c r="I735" s="2">
        <v>3113017.38</v>
      </c>
      <c r="J735" s="2">
        <v>361189.37</v>
      </c>
      <c r="K735" s="2">
        <v>861775.91</v>
      </c>
      <c r="L735">
        <v>6.1</v>
      </c>
      <c r="M735">
        <v>67</v>
      </c>
      <c r="N735">
        <v>5555</v>
      </c>
      <c r="O735">
        <v>697</v>
      </c>
      <c r="P735" t="s">
        <v>35</v>
      </c>
      <c r="Q735" t="s">
        <v>36</v>
      </c>
      <c r="R735" s="2">
        <f>Table1[[#This Row],[Global_BoxOfficeUSD]]-Table1[[#This Row],[BudgetUSD]]</f>
        <v>2212101.52</v>
      </c>
      <c r="S735" s="15">
        <f>Table1[[#This Row],[Profit]]/Table1[[#This Row],[BudgetUSD]]</f>
        <v>2.4553919163993849</v>
      </c>
      <c r="T735" t="str">
        <f>IF(Table1[[#This Row],[ROI]]&gt;100%,"Hit","Flop")</f>
        <v>Hit</v>
      </c>
    </row>
    <row r="736" spans="1:20" x14ac:dyDescent="0.3">
      <c r="A736">
        <v>442</v>
      </c>
      <c r="B736" t="s">
        <v>828</v>
      </c>
      <c r="C736" t="s">
        <v>18</v>
      </c>
      <c r="D736">
        <v>2006</v>
      </c>
      <c r="E736" s="1">
        <v>38806</v>
      </c>
      <c r="F736" t="s">
        <v>249</v>
      </c>
      <c r="G736" s="2">
        <v>1606618.03</v>
      </c>
      <c r="H736" s="2">
        <v>1592054.6</v>
      </c>
      <c r="I736" s="2">
        <v>3040747.16</v>
      </c>
      <c r="J736" s="2">
        <v>447564.3</v>
      </c>
      <c r="K736" s="2">
        <v>919782.3</v>
      </c>
      <c r="L736">
        <v>6.7</v>
      </c>
      <c r="M736">
        <v>74</v>
      </c>
      <c r="N736">
        <v>2745</v>
      </c>
      <c r="O736">
        <v>1590</v>
      </c>
      <c r="P736" t="s">
        <v>829</v>
      </c>
      <c r="Q736" t="s">
        <v>830</v>
      </c>
      <c r="R736" s="2">
        <f>Table1[[#This Row],[Global_BoxOfficeUSD]]-Table1[[#This Row],[BudgetUSD]]</f>
        <v>1434129.1300000001</v>
      </c>
      <c r="S736" s="15">
        <f>Table1[[#This Row],[Profit]]/Table1[[#This Row],[BudgetUSD]]</f>
        <v>0.89263851346172185</v>
      </c>
      <c r="T736" t="str">
        <f>IF(Table1[[#This Row],[ROI]]&gt;100%,"Hit","Flop")</f>
        <v>Flop</v>
      </c>
    </row>
    <row r="737" spans="1:20" x14ac:dyDescent="0.3">
      <c r="A737">
        <v>294</v>
      </c>
      <c r="B737" t="s">
        <v>632</v>
      </c>
      <c r="C737" t="s">
        <v>67</v>
      </c>
      <c r="D737">
        <v>2023</v>
      </c>
      <c r="E737" s="1">
        <v>45145</v>
      </c>
      <c r="F737" t="s">
        <v>34</v>
      </c>
      <c r="G737" s="2">
        <v>816280.5</v>
      </c>
      <c r="H737" s="2">
        <v>1366789.46</v>
      </c>
      <c r="I737" s="2">
        <v>3033666.75</v>
      </c>
      <c r="J737" s="2">
        <v>356356.12</v>
      </c>
      <c r="K737" s="2">
        <v>746128.47</v>
      </c>
      <c r="L737">
        <v>7.5</v>
      </c>
      <c r="M737">
        <v>58</v>
      </c>
      <c r="N737">
        <v>657</v>
      </c>
      <c r="O737">
        <v>131</v>
      </c>
      <c r="P737" t="s">
        <v>184</v>
      </c>
      <c r="Q737" t="s">
        <v>357</v>
      </c>
      <c r="R737" s="2">
        <f>Table1[[#This Row],[Global_BoxOfficeUSD]]-Table1[[#This Row],[BudgetUSD]]</f>
        <v>2217386.25</v>
      </c>
      <c r="S737" s="15">
        <f>Table1[[#This Row],[Profit]]/Table1[[#This Row],[BudgetUSD]]</f>
        <v>2.7164513301493787</v>
      </c>
      <c r="T737" t="str">
        <f>IF(Table1[[#This Row],[ROI]]&gt;100%,"Hit","Flop")</f>
        <v>Hit</v>
      </c>
    </row>
    <row r="738" spans="1:20" x14ac:dyDescent="0.3">
      <c r="A738">
        <v>471</v>
      </c>
      <c r="B738" t="s">
        <v>866</v>
      </c>
      <c r="C738" t="s">
        <v>77</v>
      </c>
      <c r="D738">
        <v>1986</v>
      </c>
      <c r="E738" s="1">
        <v>31513</v>
      </c>
      <c r="F738" t="s">
        <v>23</v>
      </c>
      <c r="G738" s="2">
        <v>3020580.99</v>
      </c>
      <c r="H738" s="2">
        <v>1701619.22</v>
      </c>
      <c r="I738" s="2">
        <v>3020580.99</v>
      </c>
      <c r="J738" s="2">
        <v>328150.49</v>
      </c>
      <c r="K738" s="2">
        <v>1019733.11</v>
      </c>
      <c r="L738">
        <v>6.9</v>
      </c>
      <c r="M738">
        <v>68</v>
      </c>
      <c r="N738">
        <v>1623</v>
      </c>
      <c r="O738">
        <v>50</v>
      </c>
      <c r="P738" t="s">
        <v>156</v>
      </c>
      <c r="Q738" t="s">
        <v>867</v>
      </c>
      <c r="R738" s="2">
        <f>Table1[[#This Row],[Global_BoxOfficeUSD]]-Table1[[#This Row],[BudgetUSD]]</f>
        <v>0</v>
      </c>
      <c r="S738" s="15">
        <f>Table1[[#This Row],[Profit]]/Table1[[#This Row],[BudgetUSD]]</f>
        <v>0</v>
      </c>
      <c r="T738" t="str">
        <f>IF(Table1[[#This Row],[ROI]]&gt;100%,"Hit","Flop")</f>
        <v>Flop</v>
      </c>
    </row>
    <row r="739" spans="1:20" x14ac:dyDescent="0.3">
      <c r="A739">
        <v>344</v>
      </c>
      <c r="B739" t="s">
        <v>698</v>
      </c>
      <c r="C739" t="s">
        <v>86</v>
      </c>
      <c r="D739">
        <v>2020</v>
      </c>
      <c r="E739" s="1">
        <v>44032</v>
      </c>
      <c r="F739" t="s">
        <v>23</v>
      </c>
      <c r="G739" s="2">
        <v>3002309.54</v>
      </c>
      <c r="H739" s="2">
        <v>1855034.38</v>
      </c>
      <c r="I739" s="2">
        <v>3002309.54</v>
      </c>
      <c r="J739" s="2">
        <v>428376.43</v>
      </c>
      <c r="K739" s="2">
        <v>894058.29</v>
      </c>
      <c r="L739">
        <v>3.6</v>
      </c>
      <c r="M739">
        <v>34</v>
      </c>
      <c r="N739">
        <v>7421</v>
      </c>
      <c r="O739">
        <v>50</v>
      </c>
      <c r="P739" t="s">
        <v>221</v>
      </c>
      <c r="Q739" t="s">
        <v>349</v>
      </c>
      <c r="R739" s="2">
        <f>Table1[[#This Row],[Global_BoxOfficeUSD]]-Table1[[#This Row],[BudgetUSD]]</f>
        <v>0</v>
      </c>
      <c r="S739" s="15">
        <f>Table1[[#This Row],[Profit]]/Table1[[#This Row],[BudgetUSD]]</f>
        <v>0</v>
      </c>
      <c r="T739" t="str">
        <f>IF(Table1[[#This Row],[ROI]]&gt;100%,"Hit","Flop")</f>
        <v>Flop</v>
      </c>
    </row>
    <row r="740" spans="1:20" x14ac:dyDescent="0.3">
      <c r="A740">
        <v>894</v>
      </c>
      <c r="B740" t="s">
        <v>1308</v>
      </c>
      <c r="C740" t="s">
        <v>67</v>
      </c>
      <c r="D740">
        <v>1952</v>
      </c>
      <c r="E740" s="1">
        <v>19302</v>
      </c>
      <c r="F740" t="s">
        <v>19</v>
      </c>
      <c r="G740" s="2">
        <v>2983320.36</v>
      </c>
      <c r="H740" s="2">
        <v>1930817.83</v>
      </c>
      <c r="I740" s="2">
        <v>3000872.41</v>
      </c>
      <c r="J740" s="2">
        <v>361347.41</v>
      </c>
      <c r="K740" s="2">
        <v>1132935.6599999999</v>
      </c>
      <c r="L740">
        <v>9.4</v>
      </c>
      <c r="M740">
        <v>96</v>
      </c>
      <c r="N740">
        <v>1375</v>
      </c>
      <c r="O740">
        <v>473</v>
      </c>
      <c r="P740" t="s">
        <v>609</v>
      </c>
      <c r="Q740" t="s">
        <v>567</v>
      </c>
      <c r="R740" s="2">
        <f>Table1[[#This Row],[Global_BoxOfficeUSD]]-Table1[[#This Row],[BudgetUSD]]</f>
        <v>17552.050000000279</v>
      </c>
      <c r="S740" s="15">
        <f>Table1[[#This Row],[Profit]]/Table1[[#This Row],[BudgetUSD]]</f>
        <v>5.8833942996320649E-3</v>
      </c>
      <c r="T740" t="str">
        <f>IF(Table1[[#This Row],[ROI]]&gt;100%,"Hit","Flop")</f>
        <v>Flop</v>
      </c>
    </row>
    <row r="741" spans="1:20" x14ac:dyDescent="0.3">
      <c r="A741">
        <v>559</v>
      </c>
      <c r="B741" t="s">
        <v>972</v>
      </c>
      <c r="C741" t="s">
        <v>33</v>
      </c>
      <c r="D741">
        <v>1994</v>
      </c>
      <c r="E741" s="1">
        <v>34422</v>
      </c>
      <c r="F741" t="s">
        <v>23</v>
      </c>
      <c r="G741" s="2">
        <v>2469597.15</v>
      </c>
      <c r="H741" s="2">
        <v>1231412.75</v>
      </c>
      <c r="I741" s="2">
        <v>2987502.63</v>
      </c>
      <c r="J741" s="2">
        <v>337993.26</v>
      </c>
      <c r="K741" s="2">
        <v>500112.93</v>
      </c>
      <c r="L741">
        <v>5.5</v>
      </c>
      <c r="M741">
        <v>63</v>
      </c>
      <c r="N741">
        <v>4070</v>
      </c>
      <c r="O741">
        <v>672</v>
      </c>
      <c r="P741" t="s">
        <v>24</v>
      </c>
      <c r="Q741" t="s">
        <v>507</v>
      </c>
      <c r="R741" s="2">
        <f>Table1[[#This Row],[Global_BoxOfficeUSD]]-Table1[[#This Row],[BudgetUSD]]</f>
        <v>517905.48</v>
      </c>
      <c r="S741" s="15">
        <f>Table1[[#This Row],[Profit]]/Table1[[#This Row],[BudgetUSD]]</f>
        <v>0.20971253550401936</v>
      </c>
      <c r="T741" t="str">
        <f>IF(Table1[[#This Row],[ROI]]&gt;100%,"Hit","Flop")</f>
        <v>Flop</v>
      </c>
    </row>
    <row r="742" spans="1:20" x14ac:dyDescent="0.3">
      <c r="A742">
        <v>88</v>
      </c>
      <c r="B742" t="s">
        <v>259</v>
      </c>
      <c r="C742" t="s">
        <v>38</v>
      </c>
      <c r="D742">
        <v>2010</v>
      </c>
      <c r="E742" s="1">
        <v>40513</v>
      </c>
      <c r="F742" t="s">
        <v>23</v>
      </c>
      <c r="G742" s="2">
        <v>1747318.9</v>
      </c>
      <c r="H742" s="2">
        <v>2028286.72</v>
      </c>
      <c r="I742" s="2">
        <v>2979757.68</v>
      </c>
      <c r="J742" s="2">
        <v>567546.78</v>
      </c>
      <c r="K742" s="2">
        <v>830857.94</v>
      </c>
      <c r="L742">
        <v>6.8</v>
      </c>
      <c r="M742">
        <v>58</v>
      </c>
      <c r="N742">
        <v>3871</v>
      </c>
      <c r="O742">
        <v>50</v>
      </c>
      <c r="P742" t="s">
        <v>260</v>
      </c>
      <c r="Q742" t="s">
        <v>130</v>
      </c>
      <c r="R742" s="2">
        <f>Table1[[#This Row],[Global_BoxOfficeUSD]]-Table1[[#This Row],[BudgetUSD]]</f>
        <v>1232438.7800000003</v>
      </c>
      <c r="S742" s="15">
        <f>Table1[[#This Row],[Profit]]/Table1[[#This Row],[BudgetUSD]]</f>
        <v>0.70533133934509629</v>
      </c>
      <c r="T742" t="str">
        <f>IF(Table1[[#This Row],[ROI]]&gt;100%,"Hit","Flop")</f>
        <v>Flop</v>
      </c>
    </row>
    <row r="743" spans="1:20" x14ac:dyDescent="0.3">
      <c r="A743">
        <v>366</v>
      </c>
      <c r="B743" t="s">
        <v>729</v>
      </c>
      <c r="C743" t="s">
        <v>18</v>
      </c>
      <c r="D743">
        <v>1967</v>
      </c>
      <c r="E743" s="1">
        <v>24597</v>
      </c>
      <c r="F743" t="s">
        <v>23</v>
      </c>
      <c r="G743" s="2">
        <v>1000236.15</v>
      </c>
      <c r="H743" s="2">
        <v>1231625.2</v>
      </c>
      <c r="I743" s="2">
        <v>2943605.89</v>
      </c>
      <c r="J743" s="2">
        <v>301286.49</v>
      </c>
      <c r="K743" s="2">
        <v>649464.67000000004</v>
      </c>
      <c r="L743">
        <v>3.4</v>
      </c>
      <c r="M743">
        <v>28</v>
      </c>
      <c r="N743">
        <v>14835</v>
      </c>
      <c r="O743">
        <v>312</v>
      </c>
      <c r="P743" t="s">
        <v>177</v>
      </c>
      <c r="Q743" t="s">
        <v>124</v>
      </c>
      <c r="R743" s="2">
        <f>Table1[[#This Row],[Global_BoxOfficeUSD]]-Table1[[#This Row],[BudgetUSD]]</f>
        <v>1943369.7400000002</v>
      </c>
      <c r="S743" s="15">
        <f>Table1[[#This Row],[Profit]]/Table1[[#This Row],[BudgetUSD]]</f>
        <v>1.9429109215858678</v>
      </c>
      <c r="T743" t="str">
        <f>IF(Table1[[#This Row],[ROI]]&gt;100%,"Hit","Flop")</f>
        <v>Hit</v>
      </c>
    </row>
    <row r="744" spans="1:20" x14ac:dyDescent="0.3">
      <c r="A744">
        <v>750</v>
      </c>
      <c r="B744" t="s">
        <v>1169</v>
      </c>
      <c r="C744" t="s">
        <v>107</v>
      </c>
      <c r="D744">
        <v>2000</v>
      </c>
      <c r="E744" s="1">
        <v>36677</v>
      </c>
      <c r="F744" t="s">
        <v>23</v>
      </c>
      <c r="G744" s="2">
        <v>596880.26</v>
      </c>
      <c r="H744" s="2">
        <v>1802786.87</v>
      </c>
      <c r="I744" s="2">
        <v>2939452.61</v>
      </c>
      <c r="J744" s="2">
        <v>525672.66</v>
      </c>
      <c r="K744" s="2">
        <v>943576.67</v>
      </c>
      <c r="L744">
        <v>6.4</v>
      </c>
      <c r="M744">
        <v>60</v>
      </c>
      <c r="N744">
        <v>30366</v>
      </c>
      <c r="O744">
        <v>226</v>
      </c>
      <c r="P744" t="s">
        <v>287</v>
      </c>
      <c r="Q744" t="s">
        <v>562</v>
      </c>
      <c r="R744" s="2">
        <f>Table1[[#This Row],[Global_BoxOfficeUSD]]-Table1[[#This Row],[BudgetUSD]]</f>
        <v>2342572.3499999996</v>
      </c>
      <c r="S744" s="15">
        <f>Table1[[#This Row],[Profit]]/Table1[[#This Row],[BudgetUSD]]</f>
        <v>3.9246939578802618</v>
      </c>
      <c r="T744" t="str">
        <f>IF(Table1[[#This Row],[ROI]]&gt;100%,"Hit","Flop")</f>
        <v>Hit</v>
      </c>
    </row>
    <row r="745" spans="1:20" x14ac:dyDescent="0.3">
      <c r="A745">
        <v>57</v>
      </c>
      <c r="B745" t="s">
        <v>186</v>
      </c>
      <c r="C745" t="s">
        <v>77</v>
      </c>
      <c r="D745">
        <v>2024</v>
      </c>
      <c r="E745" s="1">
        <v>45437</v>
      </c>
      <c r="F745" t="s">
        <v>23</v>
      </c>
      <c r="G745" s="2">
        <v>1234865.97</v>
      </c>
      <c r="H745" s="2">
        <v>1508722.69</v>
      </c>
      <c r="I745" s="2">
        <v>2934398.05</v>
      </c>
      <c r="J745" s="2">
        <v>265677.34999999998</v>
      </c>
      <c r="K745" s="2">
        <v>722062.5</v>
      </c>
      <c r="L745">
        <v>5.9</v>
      </c>
      <c r="M745">
        <v>55</v>
      </c>
      <c r="N745">
        <v>53650</v>
      </c>
      <c r="O745">
        <v>2321</v>
      </c>
      <c r="P745" t="s">
        <v>187</v>
      </c>
      <c r="Q745" t="s">
        <v>188</v>
      </c>
      <c r="R745" s="2">
        <f>Table1[[#This Row],[Global_BoxOfficeUSD]]-Table1[[#This Row],[BudgetUSD]]</f>
        <v>1699532.0799999998</v>
      </c>
      <c r="S745" s="15">
        <f>Table1[[#This Row],[Profit]]/Table1[[#This Row],[BudgetUSD]]</f>
        <v>1.3762886995744161</v>
      </c>
      <c r="T745" t="str">
        <f>IF(Table1[[#This Row],[ROI]]&gt;100%,"Hit","Flop")</f>
        <v>Hit</v>
      </c>
    </row>
    <row r="746" spans="1:20" x14ac:dyDescent="0.3">
      <c r="A746">
        <v>606</v>
      </c>
      <c r="B746" t="s">
        <v>384</v>
      </c>
      <c r="C746" t="s">
        <v>18</v>
      </c>
      <c r="D746">
        <v>1995</v>
      </c>
      <c r="E746" s="1">
        <v>35053</v>
      </c>
      <c r="F746" t="s">
        <v>23</v>
      </c>
      <c r="G746" s="2">
        <v>1104858.6599999999</v>
      </c>
      <c r="H746" s="2">
        <v>1463409.66</v>
      </c>
      <c r="I746" s="2">
        <v>2931397.83</v>
      </c>
      <c r="J746" s="2">
        <v>369344.22</v>
      </c>
      <c r="K746" s="2">
        <v>781659.84</v>
      </c>
      <c r="L746">
        <v>7.3</v>
      </c>
      <c r="M746">
        <v>58</v>
      </c>
      <c r="N746">
        <v>2376</v>
      </c>
      <c r="O746">
        <v>1136</v>
      </c>
      <c r="P746" t="s">
        <v>161</v>
      </c>
      <c r="Q746" t="s">
        <v>830</v>
      </c>
      <c r="R746" s="2">
        <f>Table1[[#This Row],[Global_BoxOfficeUSD]]-Table1[[#This Row],[BudgetUSD]]</f>
        <v>1826539.1700000002</v>
      </c>
      <c r="S746" s="15">
        <f>Table1[[#This Row],[Profit]]/Table1[[#This Row],[BudgetUSD]]</f>
        <v>1.6531880828992191</v>
      </c>
      <c r="T746" t="str">
        <f>IF(Table1[[#This Row],[ROI]]&gt;100%,"Hit","Flop")</f>
        <v>Hit</v>
      </c>
    </row>
    <row r="747" spans="1:20" x14ac:dyDescent="0.3">
      <c r="A747">
        <v>810</v>
      </c>
      <c r="B747" t="s">
        <v>1229</v>
      </c>
      <c r="C747" t="s">
        <v>38</v>
      </c>
      <c r="D747">
        <v>2025</v>
      </c>
      <c r="E747" s="1">
        <v>46002</v>
      </c>
      <c r="F747" t="s">
        <v>23</v>
      </c>
      <c r="G747" s="2">
        <v>2925727.46</v>
      </c>
      <c r="H747" s="2">
        <v>1705203.1</v>
      </c>
      <c r="I747" s="2">
        <v>2925727.46</v>
      </c>
      <c r="J747" s="2">
        <v>284333.8</v>
      </c>
      <c r="K747" s="2">
        <v>801093.38</v>
      </c>
      <c r="L747">
        <v>7.6</v>
      </c>
      <c r="M747">
        <v>74</v>
      </c>
      <c r="N747">
        <v>11518</v>
      </c>
      <c r="O747">
        <v>39739</v>
      </c>
      <c r="P747" t="s">
        <v>299</v>
      </c>
      <c r="Q747" t="s">
        <v>895</v>
      </c>
      <c r="R747" s="2">
        <f>Table1[[#This Row],[Global_BoxOfficeUSD]]-Table1[[#This Row],[BudgetUSD]]</f>
        <v>0</v>
      </c>
      <c r="S747" s="15">
        <f>Table1[[#This Row],[Profit]]/Table1[[#This Row],[BudgetUSD]]</f>
        <v>0</v>
      </c>
      <c r="T747" t="str">
        <f>IF(Table1[[#This Row],[ROI]]&gt;100%,"Hit","Flop")</f>
        <v>Flop</v>
      </c>
    </row>
    <row r="748" spans="1:20" x14ac:dyDescent="0.3">
      <c r="A748">
        <v>511</v>
      </c>
      <c r="B748" t="s">
        <v>920</v>
      </c>
      <c r="C748" t="s">
        <v>38</v>
      </c>
      <c r="D748">
        <v>1998</v>
      </c>
      <c r="E748" s="1">
        <v>36029</v>
      </c>
      <c r="F748" t="s">
        <v>34</v>
      </c>
      <c r="G748" s="2">
        <v>2888015.1</v>
      </c>
      <c r="H748" s="2">
        <v>1343612.78</v>
      </c>
      <c r="I748" s="2">
        <v>2888015.1</v>
      </c>
      <c r="J748" s="2">
        <v>346983.97</v>
      </c>
      <c r="K748" s="2">
        <v>773121.37</v>
      </c>
      <c r="L748">
        <v>7.9</v>
      </c>
      <c r="M748">
        <v>93</v>
      </c>
      <c r="N748">
        <v>5747</v>
      </c>
      <c r="O748">
        <v>162</v>
      </c>
      <c r="P748" t="s">
        <v>421</v>
      </c>
      <c r="Q748" t="s">
        <v>410</v>
      </c>
      <c r="R748" s="2">
        <f>Table1[[#This Row],[Global_BoxOfficeUSD]]-Table1[[#This Row],[BudgetUSD]]</f>
        <v>0</v>
      </c>
      <c r="S748" s="15">
        <f>Table1[[#This Row],[Profit]]/Table1[[#This Row],[BudgetUSD]]</f>
        <v>0</v>
      </c>
      <c r="T748" t="str">
        <f>IF(Table1[[#This Row],[ROI]]&gt;100%,"Hit","Flop")</f>
        <v>Flop</v>
      </c>
    </row>
    <row r="749" spans="1:20" x14ac:dyDescent="0.3">
      <c r="A749">
        <v>390</v>
      </c>
      <c r="B749" t="s">
        <v>764</v>
      </c>
      <c r="C749" t="s">
        <v>38</v>
      </c>
      <c r="D749">
        <v>1978</v>
      </c>
      <c r="E749" s="1">
        <v>28563</v>
      </c>
      <c r="F749" t="s">
        <v>23</v>
      </c>
      <c r="G749" s="2">
        <v>637462.56000000006</v>
      </c>
      <c r="H749" s="2">
        <v>1689890.74</v>
      </c>
      <c r="I749" s="2">
        <v>2884577.37</v>
      </c>
      <c r="J749" s="2">
        <v>470098.86</v>
      </c>
      <c r="K749" s="2">
        <v>933842.07</v>
      </c>
      <c r="L749">
        <v>4.4000000000000004</v>
      </c>
      <c r="M749">
        <v>40</v>
      </c>
      <c r="N749">
        <v>1224</v>
      </c>
      <c r="O749">
        <v>352</v>
      </c>
      <c r="P749" t="s">
        <v>485</v>
      </c>
      <c r="Q749" t="s">
        <v>557</v>
      </c>
      <c r="R749" s="2">
        <f>Table1[[#This Row],[Global_BoxOfficeUSD]]-Table1[[#This Row],[BudgetUSD]]</f>
        <v>2247114.81</v>
      </c>
      <c r="S749" s="15">
        <f>Table1[[#This Row],[Profit]]/Table1[[#This Row],[BudgetUSD]]</f>
        <v>3.5250930031090766</v>
      </c>
      <c r="T749" t="str">
        <f>IF(Table1[[#This Row],[ROI]]&gt;100%,"Hit","Flop")</f>
        <v>Hit</v>
      </c>
    </row>
    <row r="750" spans="1:20" x14ac:dyDescent="0.3">
      <c r="A750">
        <v>751</v>
      </c>
      <c r="B750" t="s">
        <v>1170</v>
      </c>
      <c r="C750" t="s">
        <v>38</v>
      </c>
      <c r="D750">
        <v>1991</v>
      </c>
      <c r="E750" s="1">
        <v>33471</v>
      </c>
      <c r="F750" t="s">
        <v>23</v>
      </c>
      <c r="G750" s="2">
        <v>605444.19999999995</v>
      </c>
      <c r="H750" s="2">
        <v>1642428.97</v>
      </c>
      <c r="I750" s="2">
        <v>2878272.93</v>
      </c>
      <c r="J750" s="2">
        <v>326191.63</v>
      </c>
      <c r="K750" s="2">
        <v>734200.96</v>
      </c>
      <c r="L750">
        <v>5.4</v>
      </c>
      <c r="M750">
        <v>70</v>
      </c>
      <c r="N750">
        <v>3320</v>
      </c>
      <c r="O750">
        <v>1355</v>
      </c>
      <c r="P750" t="s">
        <v>111</v>
      </c>
      <c r="Q750" t="s">
        <v>1171</v>
      </c>
      <c r="R750" s="2">
        <f>Table1[[#This Row],[Global_BoxOfficeUSD]]-Table1[[#This Row],[BudgetUSD]]</f>
        <v>2272828.7300000004</v>
      </c>
      <c r="S750" s="15">
        <f>Table1[[#This Row],[Profit]]/Table1[[#This Row],[BudgetUSD]]</f>
        <v>3.7539854705024851</v>
      </c>
      <c r="T750" t="str">
        <f>IF(Table1[[#This Row],[ROI]]&gt;100%,"Hit","Flop")</f>
        <v>Hit</v>
      </c>
    </row>
    <row r="751" spans="1:20" x14ac:dyDescent="0.3">
      <c r="A751">
        <v>978</v>
      </c>
      <c r="B751" t="s">
        <v>1253</v>
      </c>
      <c r="C751" t="s">
        <v>67</v>
      </c>
      <c r="D751">
        <v>1997</v>
      </c>
      <c r="E751" s="1">
        <v>35597</v>
      </c>
      <c r="F751" t="s">
        <v>23</v>
      </c>
      <c r="G751" s="2">
        <v>1882208.51</v>
      </c>
      <c r="H751" s="2">
        <v>1485999.79</v>
      </c>
      <c r="I751" s="2">
        <v>2877059.27</v>
      </c>
      <c r="J751" s="2">
        <v>393195.82</v>
      </c>
      <c r="K751" s="2">
        <v>826988.46</v>
      </c>
      <c r="L751">
        <v>3.6</v>
      </c>
      <c r="M751">
        <v>34</v>
      </c>
      <c r="N751">
        <v>7950</v>
      </c>
      <c r="O751">
        <v>50</v>
      </c>
      <c r="P751" t="s">
        <v>240</v>
      </c>
      <c r="Q751" t="s">
        <v>244</v>
      </c>
      <c r="R751" s="2">
        <f>Table1[[#This Row],[Global_BoxOfficeUSD]]-Table1[[#This Row],[BudgetUSD]]</f>
        <v>994850.76</v>
      </c>
      <c r="S751" s="15">
        <f>Table1[[#This Row],[Profit]]/Table1[[#This Row],[BudgetUSD]]</f>
        <v>0.52855502178130098</v>
      </c>
      <c r="T751" t="str">
        <f>IF(Table1[[#This Row],[ROI]]&gt;100%,"Hit","Flop")</f>
        <v>Flop</v>
      </c>
    </row>
    <row r="752" spans="1:20" x14ac:dyDescent="0.3">
      <c r="A752">
        <v>94</v>
      </c>
      <c r="B752" t="s">
        <v>274</v>
      </c>
      <c r="C752" t="s">
        <v>45</v>
      </c>
      <c r="D752">
        <v>1998</v>
      </c>
      <c r="E752" s="1">
        <v>35988</v>
      </c>
      <c r="F752" t="s">
        <v>23</v>
      </c>
      <c r="G752" s="2">
        <v>2152750.98</v>
      </c>
      <c r="H752" s="2">
        <v>1489852.28</v>
      </c>
      <c r="I752" s="2">
        <v>2834348.76</v>
      </c>
      <c r="J752" s="2">
        <v>156555.85999999999</v>
      </c>
      <c r="K752" s="2">
        <v>819332.5</v>
      </c>
      <c r="L752">
        <v>7.1</v>
      </c>
      <c r="M752">
        <v>67</v>
      </c>
      <c r="N752">
        <v>78355</v>
      </c>
      <c r="O752">
        <v>657</v>
      </c>
      <c r="P752" t="s">
        <v>68</v>
      </c>
      <c r="Q752" t="s">
        <v>275</v>
      </c>
      <c r="R752" s="2">
        <f>Table1[[#This Row],[Global_BoxOfficeUSD]]-Table1[[#This Row],[BudgetUSD]]</f>
        <v>681597.7799999998</v>
      </c>
      <c r="S752" s="15">
        <f>Table1[[#This Row],[Profit]]/Table1[[#This Row],[BudgetUSD]]</f>
        <v>0.31661710357228584</v>
      </c>
      <c r="T752" t="str">
        <f>IF(Table1[[#This Row],[ROI]]&gt;100%,"Hit","Flop")</f>
        <v>Flop</v>
      </c>
    </row>
    <row r="753" spans="1:20" x14ac:dyDescent="0.3">
      <c r="A753">
        <v>395</v>
      </c>
      <c r="B753" t="s">
        <v>768</v>
      </c>
      <c r="C753" t="s">
        <v>38</v>
      </c>
      <c r="D753">
        <v>2017</v>
      </c>
      <c r="E753" s="1">
        <v>43002</v>
      </c>
      <c r="F753" t="s">
        <v>23</v>
      </c>
      <c r="G753" s="2">
        <v>965166.49</v>
      </c>
      <c r="H753" s="2">
        <v>1264627.49</v>
      </c>
      <c r="I753" s="2">
        <v>2821349.22</v>
      </c>
      <c r="J753" s="2">
        <v>268158.01</v>
      </c>
      <c r="K753" s="2">
        <v>646903.27</v>
      </c>
      <c r="L753">
        <v>7.4</v>
      </c>
      <c r="M753">
        <v>71</v>
      </c>
      <c r="N753">
        <v>553</v>
      </c>
      <c r="O753">
        <v>1542</v>
      </c>
      <c r="P753" t="s">
        <v>769</v>
      </c>
      <c r="Q753" t="s">
        <v>364</v>
      </c>
      <c r="R753" s="2">
        <f>Table1[[#This Row],[Global_BoxOfficeUSD]]-Table1[[#This Row],[BudgetUSD]]</f>
        <v>1856182.7300000002</v>
      </c>
      <c r="S753" s="15">
        <f>Table1[[#This Row],[Profit]]/Table1[[#This Row],[BudgetUSD]]</f>
        <v>1.9231736174346461</v>
      </c>
      <c r="T753" t="str">
        <f>IF(Table1[[#This Row],[ROI]]&gt;100%,"Hit","Flop")</f>
        <v>Hit</v>
      </c>
    </row>
    <row r="754" spans="1:20" x14ac:dyDescent="0.3">
      <c r="A754">
        <v>440</v>
      </c>
      <c r="B754" t="s">
        <v>826</v>
      </c>
      <c r="C754" t="s">
        <v>67</v>
      </c>
      <c r="D754">
        <v>1984</v>
      </c>
      <c r="E754" s="1">
        <v>30978</v>
      </c>
      <c r="F754" t="s">
        <v>19</v>
      </c>
      <c r="G754" s="2">
        <v>2816559.7</v>
      </c>
      <c r="H754" s="2">
        <v>1505378.88</v>
      </c>
      <c r="I754" s="2">
        <v>2816559.7</v>
      </c>
      <c r="J754" s="2">
        <v>217085.91</v>
      </c>
      <c r="K754" s="2">
        <v>666252.36</v>
      </c>
      <c r="L754">
        <v>8</v>
      </c>
      <c r="M754">
        <v>65</v>
      </c>
      <c r="N754">
        <v>14188</v>
      </c>
      <c r="O754">
        <v>180</v>
      </c>
      <c r="P754" t="s">
        <v>184</v>
      </c>
      <c r="Q754" t="s">
        <v>121</v>
      </c>
      <c r="R754" s="2">
        <f>Table1[[#This Row],[Global_BoxOfficeUSD]]-Table1[[#This Row],[BudgetUSD]]</f>
        <v>0</v>
      </c>
      <c r="S754" s="15">
        <f>Table1[[#This Row],[Profit]]/Table1[[#This Row],[BudgetUSD]]</f>
        <v>0</v>
      </c>
      <c r="T754" t="str">
        <f>IF(Table1[[#This Row],[ROI]]&gt;100%,"Hit","Flop")</f>
        <v>Flop</v>
      </c>
    </row>
    <row r="755" spans="1:20" x14ac:dyDescent="0.3">
      <c r="A755">
        <v>159</v>
      </c>
      <c r="B755" t="s">
        <v>409</v>
      </c>
      <c r="C755" t="s">
        <v>45</v>
      </c>
      <c r="D755">
        <v>1982</v>
      </c>
      <c r="E755" s="1">
        <v>29997</v>
      </c>
      <c r="F755" t="s">
        <v>23</v>
      </c>
      <c r="G755" s="2">
        <v>601180.21</v>
      </c>
      <c r="H755" s="2">
        <v>1549587.15</v>
      </c>
      <c r="I755" s="2">
        <v>2775110.19</v>
      </c>
      <c r="J755" s="2">
        <v>451580.4</v>
      </c>
      <c r="K755" s="2">
        <v>841896.2</v>
      </c>
      <c r="L755">
        <v>8.1</v>
      </c>
      <c r="M755">
        <v>96</v>
      </c>
      <c r="N755">
        <v>5564</v>
      </c>
      <c r="O755">
        <v>724</v>
      </c>
      <c r="P755" t="s">
        <v>114</v>
      </c>
      <c r="Q755" t="s">
        <v>410</v>
      </c>
      <c r="R755" s="2">
        <f>Table1[[#This Row],[Global_BoxOfficeUSD]]-Table1[[#This Row],[BudgetUSD]]</f>
        <v>2173929.98</v>
      </c>
      <c r="S755" s="15">
        <f>Table1[[#This Row],[Profit]]/Table1[[#This Row],[BudgetUSD]]</f>
        <v>3.6161036970927571</v>
      </c>
      <c r="T755" t="str">
        <f>IF(Table1[[#This Row],[ROI]]&gt;100%,"Hit","Flop")</f>
        <v>Hit</v>
      </c>
    </row>
    <row r="756" spans="1:20" x14ac:dyDescent="0.3">
      <c r="A756">
        <v>537</v>
      </c>
      <c r="B756" t="s">
        <v>946</v>
      </c>
      <c r="C756" t="s">
        <v>18</v>
      </c>
      <c r="D756">
        <v>1991</v>
      </c>
      <c r="E756" s="1">
        <v>33326</v>
      </c>
      <c r="F756" t="s">
        <v>23</v>
      </c>
      <c r="G756" s="2">
        <v>1289427.0900000001</v>
      </c>
      <c r="H756" s="2">
        <v>1111465.43</v>
      </c>
      <c r="I756" s="2">
        <v>2757656.74</v>
      </c>
      <c r="J756" s="2">
        <v>121509.05</v>
      </c>
      <c r="K756" s="2">
        <v>649469.54</v>
      </c>
      <c r="L756">
        <v>5.7</v>
      </c>
      <c r="M756">
        <v>69</v>
      </c>
      <c r="N756">
        <v>9163</v>
      </c>
      <c r="O756">
        <v>50</v>
      </c>
      <c r="P756" t="s">
        <v>794</v>
      </c>
      <c r="Q756" t="s">
        <v>408</v>
      </c>
      <c r="R756" s="2">
        <f>Table1[[#This Row],[Global_BoxOfficeUSD]]-Table1[[#This Row],[BudgetUSD]]</f>
        <v>1468229.6500000001</v>
      </c>
      <c r="S756" s="15">
        <f>Table1[[#This Row],[Profit]]/Table1[[#This Row],[BudgetUSD]]</f>
        <v>1.1386682204730165</v>
      </c>
      <c r="T756" t="str">
        <f>IF(Table1[[#This Row],[ROI]]&gt;100%,"Hit","Flop")</f>
        <v>Hit</v>
      </c>
    </row>
    <row r="757" spans="1:20" x14ac:dyDescent="0.3">
      <c r="A757">
        <v>851</v>
      </c>
      <c r="B757" t="s">
        <v>1268</v>
      </c>
      <c r="C757" t="s">
        <v>45</v>
      </c>
      <c r="D757">
        <v>1978</v>
      </c>
      <c r="E757" s="1">
        <v>28669</v>
      </c>
      <c r="F757" t="s">
        <v>23</v>
      </c>
      <c r="G757" s="2">
        <v>551514.12</v>
      </c>
      <c r="H757" s="2">
        <v>1177241.54</v>
      </c>
      <c r="I757" s="2">
        <v>2743888.62</v>
      </c>
      <c r="J757" s="2">
        <v>201102.63</v>
      </c>
      <c r="K757" s="2">
        <v>476344.37</v>
      </c>
      <c r="L757">
        <v>7.7</v>
      </c>
      <c r="M757">
        <v>77</v>
      </c>
      <c r="N757">
        <v>479</v>
      </c>
      <c r="O757">
        <v>10188</v>
      </c>
      <c r="P757" t="s">
        <v>20</v>
      </c>
      <c r="Q757" t="s">
        <v>696</v>
      </c>
      <c r="R757" s="2">
        <f>Table1[[#This Row],[Global_BoxOfficeUSD]]-Table1[[#This Row],[BudgetUSD]]</f>
        <v>2192374.5</v>
      </c>
      <c r="S757" s="15">
        <f>Table1[[#This Row],[Profit]]/Table1[[#This Row],[BudgetUSD]]</f>
        <v>3.975191967886516</v>
      </c>
      <c r="T757" t="str">
        <f>IF(Table1[[#This Row],[ROI]]&gt;100%,"Hit","Flop")</f>
        <v>Hit</v>
      </c>
    </row>
    <row r="758" spans="1:20" x14ac:dyDescent="0.3">
      <c r="A758">
        <v>498</v>
      </c>
      <c r="B758" t="s">
        <v>902</v>
      </c>
      <c r="C758" t="s">
        <v>86</v>
      </c>
      <c r="D758">
        <v>1988</v>
      </c>
      <c r="E758" s="1">
        <v>32289</v>
      </c>
      <c r="F758" t="s">
        <v>34</v>
      </c>
      <c r="G758" s="2">
        <v>2721153.24</v>
      </c>
      <c r="H758" s="2">
        <v>1392488.4</v>
      </c>
      <c r="I758" s="2">
        <v>2721153.24</v>
      </c>
      <c r="J758" s="2">
        <v>226859.02</v>
      </c>
      <c r="K758" s="2">
        <v>659053.72</v>
      </c>
      <c r="L758">
        <v>5.2</v>
      </c>
      <c r="M758">
        <v>60</v>
      </c>
      <c r="N758">
        <v>70929</v>
      </c>
      <c r="O758">
        <v>204</v>
      </c>
      <c r="P758" t="s">
        <v>727</v>
      </c>
      <c r="Q758" t="s">
        <v>50</v>
      </c>
      <c r="R758" s="2">
        <f>Table1[[#This Row],[Global_BoxOfficeUSD]]-Table1[[#This Row],[BudgetUSD]]</f>
        <v>0</v>
      </c>
      <c r="S758" s="15">
        <f>Table1[[#This Row],[Profit]]/Table1[[#This Row],[BudgetUSD]]</f>
        <v>0</v>
      </c>
      <c r="T758" t="str">
        <f>IF(Table1[[#This Row],[ROI]]&gt;100%,"Hit","Flop")</f>
        <v>Flop</v>
      </c>
    </row>
    <row r="759" spans="1:20" x14ac:dyDescent="0.3">
      <c r="A759">
        <v>118</v>
      </c>
      <c r="B759" t="s">
        <v>328</v>
      </c>
      <c r="C759" t="s">
        <v>33</v>
      </c>
      <c r="D759">
        <v>2003</v>
      </c>
      <c r="E759" s="1">
        <v>37627</v>
      </c>
      <c r="F759" t="s">
        <v>23</v>
      </c>
      <c r="G759" s="2">
        <v>2714156.97</v>
      </c>
      <c r="H759" s="2">
        <v>1561762.4</v>
      </c>
      <c r="I759" s="2">
        <v>2714156.97</v>
      </c>
      <c r="J759" s="2">
        <v>277367.56</v>
      </c>
      <c r="K759" s="2">
        <v>804000.83</v>
      </c>
      <c r="L759">
        <v>5</v>
      </c>
      <c r="M759">
        <v>43</v>
      </c>
      <c r="N759">
        <v>10572</v>
      </c>
      <c r="O759">
        <v>888</v>
      </c>
      <c r="P759" t="s">
        <v>153</v>
      </c>
      <c r="Q759" t="s">
        <v>329</v>
      </c>
      <c r="R759" s="2">
        <f>Table1[[#This Row],[Global_BoxOfficeUSD]]-Table1[[#This Row],[BudgetUSD]]</f>
        <v>0</v>
      </c>
      <c r="S759" s="15">
        <f>Table1[[#This Row],[Profit]]/Table1[[#This Row],[BudgetUSD]]</f>
        <v>0</v>
      </c>
      <c r="T759" t="str">
        <f>IF(Table1[[#This Row],[ROI]]&gt;100%,"Hit","Flop")</f>
        <v>Flop</v>
      </c>
    </row>
    <row r="760" spans="1:20" x14ac:dyDescent="0.3">
      <c r="A760">
        <v>79</v>
      </c>
      <c r="B760" t="s">
        <v>241</v>
      </c>
      <c r="C760" t="s">
        <v>86</v>
      </c>
      <c r="D760">
        <v>1983</v>
      </c>
      <c r="E760" s="1">
        <v>30544</v>
      </c>
      <c r="F760" t="s">
        <v>23</v>
      </c>
      <c r="G760" s="2">
        <v>943131.66</v>
      </c>
      <c r="H760" s="2">
        <v>1851421.69</v>
      </c>
      <c r="I760" s="2">
        <v>2714023.77</v>
      </c>
      <c r="J760" s="2">
        <v>296828.88</v>
      </c>
      <c r="K760" s="2">
        <v>761104.32</v>
      </c>
      <c r="L760">
        <v>6.2</v>
      </c>
      <c r="M760">
        <v>73</v>
      </c>
      <c r="N760">
        <v>21230</v>
      </c>
      <c r="O760">
        <v>66</v>
      </c>
      <c r="P760" t="s">
        <v>126</v>
      </c>
      <c r="Q760" t="s">
        <v>43</v>
      </c>
      <c r="R760" s="2">
        <f>Table1[[#This Row],[Global_BoxOfficeUSD]]-Table1[[#This Row],[BudgetUSD]]</f>
        <v>1770892.1099999999</v>
      </c>
      <c r="S760" s="15">
        <f>Table1[[#This Row],[Profit]]/Table1[[#This Row],[BudgetUSD]]</f>
        <v>1.8776722117461309</v>
      </c>
      <c r="T760" t="str">
        <f>IF(Table1[[#This Row],[ROI]]&gt;100%,"Hit","Flop")</f>
        <v>Hit</v>
      </c>
    </row>
    <row r="761" spans="1:20" x14ac:dyDescent="0.3">
      <c r="A761">
        <v>300</v>
      </c>
      <c r="B761" t="s">
        <v>639</v>
      </c>
      <c r="C761" t="s">
        <v>67</v>
      </c>
      <c r="D761">
        <v>2023</v>
      </c>
      <c r="E761" s="1">
        <v>44946</v>
      </c>
      <c r="F761" t="s">
        <v>34</v>
      </c>
      <c r="G761" s="2">
        <v>1787183.63</v>
      </c>
      <c r="H761" s="2">
        <v>1508299.06</v>
      </c>
      <c r="I761" s="2">
        <v>2699219.33</v>
      </c>
      <c r="J761" s="2">
        <v>307801.61</v>
      </c>
      <c r="K761" s="2">
        <v>788012.23</v>
      </c>
      <c r="L761">
        <v>5.7</v>
      </c>
      <c r="M761">
        <v>55</v>
      </c>
      <c r="N761">
        <v>220</v>
      </c>
      <c r="O761">
        <v>11857</v>
      </c>
      <c r="P761" t="s">
        <v>24</v>
      </c>
      <c r="Q761" t="s">
        <v>640</v>
      </c>
      <c r="R761" s="2">
        <f>Table1[[#This Row],[Global_BoxOfficeUSD]]-Table1[[#This Row],[BudgetUSD]]</f>
        <v>912035.70000000019</v>
      </c>
      <c r="S761" s="15">
        <f>Table1[[#This Row],[Profit]]/Table1[[#This Row],[BudgetUSD]]</f>
        <v>0.51032008389647132</v>
      </c>
      <c r="T761" t="str">
        <f>IF(Table1[[#This Row],[ROI]]&gt;100%,"Hit","Flop")</f>
        <v>Flop</v>
      </c>
    </row>
    <row r="762" spans="1:20" x14ac:dyDescent="0.3">
      <c r="A762">
        <v>74</v>
      </c>
      <c r="B762" t="s">
        <v>229</v>
      </c>
      <c r="C762" t="s">
        <v>38</v>
      </c>
      <c r="D762">
        <v>2025</v>
      </c>
      <c r="E762" s="1">
        <v>45903</v>
      </c>
      <c r="F762" t="s">
        <v>139</v>
      </c>
      <c r="G762" s="2">
        <v>2192960.86</v>
      </c>
      <c r="H762" s="2">
        <v>1267124.29</v>
      </c>
      <c r="I762" s="2">
        <v>2672853.42</v>
      </c>
      <c r="J762" s="2">
        <v>282633.44</v>
      </c>
      <c r="K762" s="2">
        <v>646175.21</v>
      </c>
      <c r="L762">
        <v>6.8</v>
      </c>
      <c r="M762">
        <v>69</v>
      </c>
      <c r="N762">
        <v>30377</v>
      </c>
      <c r="O762">
        <v>191</v>
      </c>
      <c r="P762" t="s">
        <v>90</v>
      </c>
      <c r="Q762" t="s">
        <v>109</v>
      </c>
      <c r="R762" s="2">
        <f>Table1[[#This Row],[Global_BoxOfficeUSD]]-Table1[[#This Row],[BudgetUSD]]</f>
        <v>479892.56000000006</v>
      </c>
      <c r="S762" s="15">
        <f>Table1[[#This Row],[Profit]]/Table1[[#This Row],[BudgetUSD]]</f>
        <v>0.21883316239396999</v>
      </c>
      <c r="T762" t="str">
        <f>IF(Table1[[#This Row],[ROI]]&gt;100%,"Hit","Flop")</f>
        <v>Flop</v>
      </c>
    </row>
    <row r="763" spans="1:20" x14ac:dyDescent="0.3">
      <c r="A763">
        <v>917</v>
      </c>
      <c r="B763" t="s">
        <v>1326</v>
      </c>
      <c r="C763" t="s">
        <v>86</v>
      </c>
      <c r="D763">
        <v>2019</v>
      </c>
      <c r="E763" s="1">
        <v>43611</v>
      </c>
      <c r="F763" t="s">
        <v>23</v>
      </c>
      <c r="G763" s="2">
        <v>770937.59</v>
      </c>
      <c r="H763" s="2">
        <v>1265380.73</v>
      </c>
      <c r="I763" s="2">
        <v>2647016.9300000002</v>
      </c>
      <c r="J763" s="2">
        <v>148290.15</v>
      </c>
      <c r="K763" s="2">
        <v>611888.89</v>
      </c>
      <c r="L763">
        <v>10</v>
      </c>
      <c r="M763">
        <v>100</v>
      </c>
      <c r="N763">
        <v>6860</v>
      </c>
      <c r="O763">
        <v>294</v>
      </c>
      <c r="P763" t="s">
        <v>20</v>
      </c>
      <c r="Q763" t="s">
        <v>196</v>
      </c>
      <c r="R763" s="2">
        <f>Table1[[#This Row],[Global_BoxOfficeUSD]]-Table1[[#This Row],[BudgetUSD]]</f>
        <v>1876079.3400000003</v>
      </c>
      <c r="S763" s="15">
        <f>Table1[[#This Row],[Profit]]/Table1[[#This Row],[BudgetUSD]]</f>
        <v>2.4335035213421108</v>
      </c>
      <c r="T763" t="str">
        <f>IF(Table1[[#This Row],[ROI]]&gt;100%,"Hit","Flop")</f>
        <v>Hit</v>
      </c>
    </row>
    <row r="764" spans="1:20" x14ac:dyDescent="0.3">
      <c r="A764">
        <v>962</v>
      </c>
      <c r="B764" t="s">
        <v>1371</v>
      </c>
      <c r="C764" t="s">
        <v>38</v>
      </c>
      <c r="D764">
        <v>2017</v>
      </c>
      <c r="E764" s="1">
        <v>42933</v>
      </c>
      <c r="F764" t="s">
        <v>23</v>
      </c>
      <c r="G764" s="2">
        <v>1378515.07</v>
      </c>
      <c r="H764" s="2">
        <v>1825459.5</v>
      </c>
      <c r="I764" s="2">
        <v>2615365.06</v>
      </c>
      <c r="J764" s="2">
        <v>356014.64</v>
      </c>
      <c r="K764" s="2">
        <v>822771.8</v>
      </c>
      <c r="L764">
        <v>5.2</v>
      </c>
      <c r="M764">
        <v>57</v>
      </c>
      <c r="N764">
        <v>1811</v>
      </c>
      <c r="O764">
        <v>310</v>
      </c>
      <c r="P764" t="s">
        <v>576</v>
      </c>
      <c r="Q764" t="s">
        <v>1372</v>
      </c>
      <c r="R764" s="2">
        <f>Table1[[#This Row],[Global_BoxOfficeUSD]]-Table1[[#This Row],[BudgetUSD]]</f>
        <v>1236849.99</v>
      </c>
      <c r="S764" s="15">
        <f>Table1[[#This Row],[Profit]]/Table1[[#This Row],[BudgetUSD]]</f>
        <v>0.89723356451953762</v>
      </c>
      <c r="T764" t="str">
        <f>IF(Table1[[#This Row],[ROI]]&gt;100%,"Hit","Flop")</f>
        <v>Flop</v>
      </c>
    </row>
    <row r="765" spans="1:20" x14ac:dyDescent="0.3">
      <c r="A765">
        <v>76</v>
      </c>
      <c r="B765" t="s">
        <v>233</v>
      </c>
      <c r="C765" t="s">
        <v>67</v>
      </c>
      <c r="D765">
        <v>1992</v>
      </c>
      <c r="E765" s="1">
        <v>33903</v>
      </c>
      <c r="F765" t="s">
        <v>23</v>
      </c>
      <c r="G765" s="2">
        <v>618082.18999999994</v>
      </c>
      <c r="H765" s="2">
        <v>1773511.07</v>
      </c>
      <c r="I765" s="2">
        <v>2611459.7000000002</v>
      </c>
      <c r="J765" s="2">
        <v>422379.21</v>
      </c>
      <c r="K765" s="2">
        <v>1004455.38</v>
      </c>
      <c r="L765">
        <v>8.1999999999999993</v>
      </c>
      <c r="M765">
        <v>84</v>
      </c>
      <c r="N765">
        <v>1363</v>
      </c>
      <c r="O765">
        <v>156</v>
      </c>
      <c r="P765" t="s">
        <v>234</v>
      </c>
      <c r="Q765" t="s">
        <v>235</v>
      </c>
      <c r="R765" s="2">
        <f>Table1[[#This Row],[Global_BoxOfficeUSD]]-Table1[[#This Row],[BudgetUSD]]</f>
        <v>1993377.5100000002</v>
      </c>
      <c r="S765" s="15">
        <f>Table1[[#This Row],[Profit]]/Table1[[#This Row],[BudgetUSD]]</f>
        <v>3.2251010338932438</v>
      </c>
      <c r="T765" t="str">
        <f>IF(Table1[[#This Row],[ROI]]&gt;100%,"Hit","Flop")</f>
        <v>Hit</v>
      </c>
    </row>
    <row r="766" spans="1:20" x14ac:dyDescent="0.3">
      <c r="A766">
        <v>553</v>
      </c>
      <c r="B766" t="s">
        <v>964</v>
      </c>
      <c r="C766" t="s">
        <v>67</v>
      </c>
      <c r="D766">
        <v>2021</v>
      </c>
      <c r="E766" s="1">
        <v>44243</v>
      </c>
      <c r="F766" t="s">
        <v>23</v>
      </c>
      <c r="G766" s="2">
        <v>2596022.38</v>
      </c>
      <c r="H766" s="2">
        <v>1439299.32</v>
      </c>
      <c r="I766" s="2">
        <v>2596022.38</v>
      </c>
      <c r="J766" s="2">
        <v>232161.56</v>
      </c>
      <c r="K766" s="2">
        <v>659264.88</v>
      </c>
      <c r="L766">
        <v>5.8</v>
      </c>
      <c r="M766">
        <v>49</v>
      </c>
      <c r="N766">
        <v>1387</v>
      </c>
      <c r="O766">
        <v>74</v>
      </c>
      <c r="P766" t="s">
        <v>416</v>
      </c>
      <c r="Q766" t="s">
        <v>792</v>
      </c>
      <c r="R766" s="2">
        <f>Table1[[#This Row],[Global_BoxOfficeUSD]]-Table1[[#This Row],[BudgetUSD]]</f>
        <v>0</v>
      </c>
      <c r="S766" s="15">
        <f>Table1[[#This Row],[Profit]]/Table1[[#This Row],[BudgetUSD]]</f>
        <v>0</v>
      </c>
      <c r="T766" t="str">
        <f>IF(Table1[[#This Row],[ROI]]&gt;100%,"Hit","Flop")</f>
        <v>Flop</v>
      </c>
    </row>
    <row r="767" spans="1:20" x14ac:dyDescent="0.3">
      <c r="A767">
        <v>998</v>
      </c>
      <c r="B767" t="s">
        <v>1408</v>
      </c>
      <c r="C767" t="s">
        <v>18</v>
      </c>
      <c r="D767">
        <v>2010</v>
      </c>
      <c r="E767" s="1">
        <v>40246</v>
      </c>
      <c r="F767" t="s">
        <v>23</v>
      </c>
      <c r="G767" s="2">
        <v>2585342.09</v>
      </c>
      <c r="H767" s="2">
        <v>1311402.1399999999</v>
      </c>
      <c r="I767" s="2">
        <v>2585342.09</v>
      </c>
      <c r="J767" s="2">
        <v>223047.35</v>
      </c>
      <c r="K767" s="2">
        <v>749702.54</v>
      </c>
      <c r="L767">
        <v>8.4</v>
      </c>
      <c r="M767">
        <v>64</v>
      </c>
      <c r="N767">
        <v>73478</v>
      </c>
      <c r="O767">
        <v>132</v>
      </c>
      <c r="P767" t="s">
        <v>769</v>
      </c>
      <c r="Q767" t="s">
        <v>754</v>
      </c>
      <c r="R767" s="2">
        <f>Table1[[#This Row],[Global_BoxOfficeUSD]]-Table1[[#This Row],[BudgetUSD]]</f>
        <v>0</v>
      </c>
      <c r="S767" s="15">
        <f>Table1[[#This Row],[Profit]]/Table1[[#This Row],[BudgetUSD]]</f>
        <v>0</v>
      </c>
      <c r="T767" t="str">
        <f>IF(Table1[[#This Row],[ROI]]&gt;100%,"Hit","Flop")</f>
        <v>Flop</v>
      </c>
    </row>
    <row r="768" spans="1:20" x14ac:dyDescent="0.3">
      <c r="A768">
        <v>228</v>
      </c>
      <c r="B768" t="s">
        <v>538</v>
      </c>
      <c r="C768" t="s">
        <v>45</v>
      </c>
      <c r="D768">
        <v>2015</v>
      </c>
      <c r="E768" s="1">
        <v>42179</v>
      </c>
      <c r="F768" t="s">
        <v>23</v>
      </c>
      <c r="G768" s="2">
        <v>2584007.54</v>
      </c>
      <c r="H768" s="2">
        <v>1562775.99</v>
      </c>
      <c r="I768" s="2">
        <v>2584007.54</v>
      </c>
      <c r="J768" s="2">
        <v>334154.45</v>
      </c>
      <c r="K768" s="2">
        <v>737134.85</v>
      </c>
      <c r="L768">
        <v>7.2</v>
      </c>
      <c r="M768">
        <v>78</v>
      </c>
      <c r="N768">
        <v>401</v>
      </c>
      <c r="O768">
        <v>330</v>
      </c>
      <c r="P768" t="s">
        <v>83</v>
      </c>
      <c r="Q768" t="s">
        <v>180</v>
      </c>
      <c r="R768" s="2">
        <f>Table1[[#This Row],[Global_BoxOfficeUSD]]-Table1[[#This Row],[BudgetUSD]]</f>
        <v>0</v>
      </c>
      <c r="S768" s="15">
        <f>Table1[[#This Row],[Profit]]/Table1[[#This Row],[BudgetUSD]]</f>
        <v>0</v>
      </c>
      <c r="T768" t="str">
        <f>IF(Table1[[#This Row],[ROI]]&gt;100%,"Hit","Flop")</f>
        <v>Flop</v>
      </c>
    </row>
    <row r="769" spans="1:20" x14ac:dyDescent="0.3">
      <c r="A769">
        <v>147</v>
      </c>
      <c r="B769" t="s">
        <v>382</v>
      </c>
      <c r="C769" t="s">
        <v>38</v>
      </c>
      <c r="D769">
        <v>2015</v>
      </c>
      <c r="E769" s="1">
        <v>42246</v>
      </c>
      <c r="F769" t="s">
        <v>23</v>
      </c>
      <c r="G769" s="2">
        <v>708977.73</v>
      </c>
      <c r="H769" s="2">
        <v>1105158.04</v>
      </c>
      <c r="I769" s="2">
        <v>2579589.7999999998</v>
      </c>
      <c r="J769" s="2">
        <v>300585.2</v>
      </c>
      <c r="K769" s="2">
        <v>649445.87</v>
      </c>
      <c r="L769">
        <v>9</v>
      </c>
      <c r="M769">
        <v>94</v>
      </c>
      <c r="N769">
        <v>292</v>
      </c>
      <c r="O769">
        <v>1572</v>
      </c>
      <c r="P769" t="s">
        <v>319</v>
      </c>
      <c r="Q769" t="s">
        <v>383</v>
      </c>
      <c r="R769" s="2">
        <f>Table1[[#This Row],[Global_BoxOfficeUSD]]-Table1[[#This Row],[BudgetUSD]]</f>
        <v>1870612.0699999998</v>
      </c>
      <c r="S769" s="15">
        <f>Table1[[#This Row],[Profit]]/Table1[[#This Row],[BudgetUSD]]</f>
        <v>2.6384637920855423</v>
      </c>
      <c r="T769" t="str">
        <f>IF(Table1[[#This Row],[ROI]]&gt;100%,"Hit","Flop")</f>
        <v>Hit</v>
      </c>
    </row>
    <row r="770" spans="1:20" x14ac:dyDescent="0.3">
      <c r="A770">
        <v>708</v>
      </c>
      <c r="B770" t="s">
        <v>1127</v>
      </c>
      <c r="C770" t="s">
        <v>77</v>
      </c>
      <c r="D770">
        <v>1975</v>
      </c>
      <c r="E770" s="1">
        <v>27624</v>
      </c>
      <c r="F770" t="s">
        <v>249</v>
      </c>
      <c r="G770" s="2">
        <v>641080.74</v>
      </c>
      <c r="H770" s="2">
        <v>1611731.31</v>
      </c>
      <c r="I770" s="2">
        <v>2570334.2799999998</v>
      </c>
      <c r="J770" s="2">
        <v>244007.33</v>
      </c>
      <c r="K770" s="2">
        <v>652004.80000000005</v>
      </c>
      <c r="L770">
        <v>4.9000000000000004</v>
      </c>
      <c r="M770">
        <v>54</v>
      </c>
      <c r="N770">
        <v>20732</v>
      </c>
      <c r="O770">
        <v>161</v>
      </c>
      <c r="P770" t="s">
        <v>453</v>
      </c>
      <c r="Q770" t="s">
        <v>314</v>
      </c>
      <c r="R770" s="2">
        <f>Table1[[#This Row],[Global_BoxOfficeUSD]]-Table1[[#This Row],[BudgetUSD]]</f>
        <v>1929253.5399999998</v>
      </c>
      <c r="S770" s="15">
        <f>Table1[[#This Row],[Profit]]/Table1[[#This Row],[BudgetUSD]]</f>
        <v>3.0093768532182077</v>
      </c>
      <c r="T770" t="str">
        <f>IF(Table1[[#This Row],[ROI]]&gt;100%,"Hit","Flop")</f>
        <v>Hit</v>
      </c>
    </row>
    <row r="771" spans="1:20" x14ac:dyDescent="0.3">
      <c r="A771">
        <v>985</v>
      </c>
      <c r="B771" t="s">
        <v>1395</v>
      </c>
      <c r="C771" t="s">
        <v>77</v>
      </c>
      <c r="D771">
        <v>2001</v>
      </c>
      <c r="E771" s="1">
        <v>37153</v>
      </c>
      <c r="F771" t="s">
        <v>23</v>
      </c>
      <c r="G771" s="2">
        <v>1664814.21</v>
      </c>
      <c r="H771" s="2">
        <v>1106301.32</v>
      </c>
      <c r="I771" s="2">
        <v>2551590.75</v>
      </c>
      <c r="J771" s="2">
        <v>183137.95</v>
      </c>
      <c r="K771" s="2">
        <v>588588.47</v>
      </c>
      <c r="L771">
        <v>6.5</v>
      </c>
      <c r="M771">
        <v>73</v>
      </c>
      <c r="N771">
        <v>11163</v>
      </c>
      <c r="O771">
        <v>1651</v>
      </c>
      <c r="P771" t="s">
        <v>83</v>
      </c>
      <c r="Q771" t="s">
        <v>602</v>
      </c>
      <c r="R771" s="2">
        <f>Table1[[#This Row],[Global_BoxOfficeUSD]]-Table1[[#This Row],[BudgetUSD]]</f>
        <v>886776.54</v>
      </c>
      <c r="S771" s="15">
        <f>Table1[[#This Row],[Profit]]/Table1[[#This Row],[BudgetUSD]]</f>
        <v>0.53265795947284711</v>
      </c>
      <c r="T771" t="str">
        <f>IF(Table1[[#This Row],[ROI]]&gt;100%,"Hit","Flop")</f>
        <v>Flop</v>
      </c>
    </row>
    <row r="772" spans="1:20" x14ac:dyDescent="0.3">
      <c r="A772">
        <v>577</v>
      </c>
      <c r="B772" t="s">
        <v>992</v>
      </c>
      <c r="C772" t="s">
        <v>38</v>
      </c>
      <c r="D772">
        <v>1993</v>
      </c>
      <c r="E772" s="1">
        <v>34059</v>
      </c>
      <c r="F772" t="s">
        <v>23</v>
      </c>
      <c r="G772" s="2">
        <v>1086528.9099999999</v>
      </c>
      <c r="H772" s="2">
        <v>1591691.77</v>
      </c>
      <c r="I772" s="2">
        <v>2551284.15</v>
      </c>
      <c r="J772" s="2">
        <v>252025.89</v>
      </c>
      <c r="K772" s="2">
        <v>718662.46</v>
      </c>
      <c r="L772">
        <v>8.1</v>
      </c>
      <c r="M772">
        <v>87</v>
      </c>
      <c r="N772">
        <v>2356</v>
      </c>
      <c r="O772">
        <v>35769</v>
      </c>
      <c r="P772" t="s">
        <v>666</v>
      </c>
      <c r="Q772" t="s">
        <v>843</v>
      </c>
      <c r="R772" s="2">
        <f>Table1[[#This Row],[Global_BoxOfficeUSD]]-Table1[[#This Row],[BudgetUSD]]</f>
        <v>1464755.24</v>
      </c>
      <c r="S772" s="15">
        <f>Table1[[#This Row],[Profit]]/Table1[[#This Row],[BudgetUSD]]</f>
        <v>1.3481051691482375</v>
      </c>
      <c r="T772" t="str">
        <f>IF(Table1[[#This Row],[ROI]]&gt;100%,"Hit","Flop")</f>
        <v>Hit</v>
      </c>
    </row>
    <row r="773" spans="1:20" x14ac:dyDescent="0.3">
      <c r="A773">
        <v>128</v>
      </c>
      <c r="B773" t="s">
        <v>348</v>
      </c>
      <c r="C773" t="s">
        <v>77</v>
      </c>
      <c r="D773">
        <v>1959</v>
      </c>
      <c r="E773" s="1">
        <v>21744</v>
      </c>
      <c r="F773" t="s">
        <v>23</v>
      </c>
      <c r="G773" s="2">
        <v>1027881.79</v>
      </c>
      <c r="H773" s="2">
        <v>1725767.97</v>
      </c>
      <c r="I773" s="2">
        <v>2520217.3199999998</v>
      </c>
      <c r="J773" s="2">
        <v>300693.40999999997</v>
      </c>
      <c r="K773" s="2">
        <v>785183.74</v>
      </c>
      <c r="L773">
        <v>7.2</v>
      </c>
      <c r="M773">
        <v>95</v>
      </c>
      <c r="N773">
        <v>18806</v>
      </c>
      <c r="O773">
        <v>258</v>
      </c>
      <c r="P773" t="s">
        <v>202</v>
      </c>
      <c r="Q773" t="s">
        <v>349</v>
      </c>
      <c r="R773" s="2">
        <f>Table1[[#This Row],[Global_BoxOfficeUSD]]-Table1[[#This Row],[BudgetUSD]]</f>
        <v>1492335.5299999998</v>
      </c>
      <c r="S773" s="15">
        <f>Table1[[#This Row],[Profit]]/Table1[[#This Row],[BudgetUSD]]</f>
        <v>1.4518552079806761</v>
      </c>
      <c r="T773" t="str">
        <f>IF(Table1[[#This Row],[ROI]]&gt;100%,"Hit","Flop")</f>
        <v>Hit</v>
      </c>
    </row>
    <row r="774" spans="1:20" x14ac:dyDescent="0.3">
      <c r="A774">
        <v>213</v>
      </c>
      <c r="B774" t="s">
        <v>511</v>
      </c>
      <c r="C774" t="s">
        <v>67</v>
      </c>
      <c r="D774">
        <v>2019</v>
      </c>
      <c r="E774" s="1">
        <v>43780</v>
      </c>
      <c r="F774" t="s">
        <v>23</v>
      </c>
      <c r="G774" s="2">
        <v>1305511.8999999999</v>
      </c>
      <c r="H774" s="2">
        <v>1397464.92</v>
      </c>
      <c r="I774" s="2">
        <v>2518566.73</v>
      </c>
      <c r="J774" s="2">
        <v>195389.13</v>
      </c>
      <c r="K774" s="2">
        <v>769222.36</v>
      </c>
      <c r="L774">
        <v>6.5</v>
      </c>
      <c r="M774">
        <v>57</v>
      </c>
      <c r="N774">
        <v>1713</v>
      </c>
      <c r="O774">
        <v>1109</v>
      </c>
      <c r="P774" t="s">
        <v>192</v>
      </c>
      <c r="Q774" t="s">
        <v>512</v>
      </c>
      <c r="R774" s="2">
        <f>Table1[[#This Row],[Global_BoxOfficeUSD]]-Table1[[#This Row],[BudgetUSD]]</f>
        <v>1213054.83</v>
      </c>
      <c r="S774" s="15">
        <f>Table1[[#This Row],[Profit]]/Table1[[#This Row],[BudgetUSD]]</f>
        <v>0.92917945060477825</v>
      </c>
      <c r="T774" t="str">
        <f>IF(Table1[[#This Row],[ROI]]&gt;100%,"Hit","Flop")</f>
        <v>Flop</v>
      </c>
    </row>
    <row r="775" spans="1:20" x14ac:dyDescent="0.3">
      <c r="A775">
        <v>197</v>
      </c>
      <c r="B775" t="s">
        <v>483</v>
      </c>
      <c r="C775" t="s">
        <v>77</v>
      </c>
      <c r="D775">
        <v>1987</v>
      </c>
      <c r="E775" s="1">
        <v>32092</v>
      </c>
      <c r="F775" t="s">
        <v>19</v>
      </c>
      <c r="G775" s="2">
        <v>2510446.4</v>
      </c>
      <c r="H775" s="2">
        <v>1609983.12</v>
      </c>
      <c r="I775" s="2">
        <v>2510446.4</v>
      </c>
      <c r="J775" s="2">
        <v>209398.63</v>
      </c>
      <c r="K775" s="2">
        <v>834311.37</v>
      </c>
      <c r="L775">
        <v>10</v>
      </c>
      <c r="M775">
        <v>96</v>
      </c>
      <c r="N775">
        <v>3571</v>
      </c>
      <c r="O775">
        <v>1964</v>
      </c>
      <c r="P775" t="s">
        <v>246</v>
      </c>
      <c r="Q775" t="s">
        <v>484</v>
      </c>
      <c r="R775" s="2">
        <f>Table1[[#This Row],[Global_BoxOfficeUSD]]-Table1[[#This Row],[BudgetUSD]]</f>
        <v>0</v>
      </c>
      <c r="S775" s="15">
        <f>Table1[[#This Row],[Profit]]/Table1[[#This Row],[BudgetUSD]]</f>
        <v>0</v>
      </c>
      <c r="T775" t="str">
        <f>IF(Table1[[#This Row],[ROI]]&gt;100%,"Hit","Flop")</f>
        <v>Flop</v>
      </c>
    </row>
    <row r="776" spans="1:20" x14ac:dyDescent="0.3">
      <c r="A776">
        <v>28</v>
      </c>
      <c r="B776" t="s">
        <v>104</v>
      </c>
      <c r="C776" t="s">
        <v>86</v>
      </c>
      <c r="D776">
        <v>2007</v>
      </c>
      <c r="E776" s="1">
        <v>39237</v>
      </c>
      <c r="F776" t="s">
        <v>23</v>
      </c>
      <c r="G776" s="2">
        <v>2469350.08</v>
      </c>
      <c r="H776" s="2">
        <v>1273405.22</v>
      </c>
      <c r="I776" s="2">
        <v>2469350.08</v>
      </c>
      <c r="J776" s="2">
        <v>256057.5</v>
      </c>
      <c r="K776" s="2">
        <v>727685.16</v>
      </c>
      <c r="L776">
        <v>5.6</v>
      </c>
      <c r="M776">
        <v>41</v>
      </c>
      <c r="N776">
        <v>571</v>
      </c>
      <c r="O776">
        <v>58</v>
      </c>
      <c r="P776" t="s">
        <v>58</v>
      </c>
      <c r="Q776" t="s">
        <v>105</v>
      </c>
      <c r="R776" s="2">
        <f>Table1[[#This Row],[Global_BoxOfficeUSD]]-Table1[[#This Row],[BudgetUSD]]</f>
        <v>0</v>
      </c>
      <c r="S776" s="15">
        <f>Table1[[#This Row],[Profit]]/Table1[[#This Row],[BudgetUSD]]</f>
        <v>0</v>
      </c>
      <c r="T776" t="str">
        <f>IF(Table1[[#This Row],[ROI]]&gt;100%,"Hit","Flop")</f>
        <v>Flop</v>
      </c>
    </row>
    <row r="777" spans="1:20" x14ac:dyDescent="0.3">
      <c r="A777">
        <v>211</v>
      </c>
      <c r="B777" t="s">
        <v>509</v>
      </c>
      <c r="C777" t="s">
        <v>38</v>
      </c>
      <c r="D777">
        <v>1985</v>
      </c>
      <c r="E777" s="1">
        <v>31078</v>
      </c>
      <c r="F777" t="s">
        <v>23</v>
      </c>
      <c r="G777" s="2">
        <v>2214056.65</v>
      </c>
      <c r="H777" s="2">
        <v>1684079.11</v>
      </c>
      <c r="I777" s="2">
        <v>2468017.9900000002</v>
      </c>
      <c r="J777" s="2">
        <v>177144.43</v>
      </c>
      <c r="K777" s="2">
        <v>844211.48</v>
      </c>
      <c r="L777">
        <v>3.7</v>
      </c>
      <c r="M777">
        <v>52</v>
      </c>
      <c r="N777">
        <v>4992</v>
      </c>
      <c r="O777">
        <v>7670</v>
      </c>
      <c r="P777" t="s">
        <v>326</v>
      </c>
      <c r="Q777" t="s">
        <v>303</v>
      </c>
      <c r="R777" s="2">
        <f>Table1[[#This Row],[Global_BoxOfficeUSD]]-Table1[[#This Row],[BudgetUSD]]</f>
        <v>253961.34000000032</v>
      </c>
      <c r="S777" s="15">
        <f>Table1[[#This Row],[Profit]]/Table1[[#This Row],[BudgetUSD]]</f>
        <v>0.11470408401700125</v>
      </c>
      <c r="T777" t="str">
        <f>IF(Table1[[#This Row],[ROI]]&gt;100%,"Hit","Flop")</f>
        <v>Flop</v>
      </c>
    </row>
    <row r="778" spans="1:20" x14ac:dyDescent="0.3">
      <c r="A778">
        <v>125</v>
      </c>
      <c r="B778" t="s">
        <v>343</v>
      </c>
      <c r="C778" t="s">
        <v>67</v>
      </c>
      <c r="D778">
        <v>2014</v>
      </c>
      <c r="E778" s="1">
        <v>41922</v>
      </c>
      <c r="F778" t="s">
        <v>23</v>
      </c>
      <c r="G778" s="2">
        <v>804860.37</v>
      </c>
      <c r="H778" s="2">
        <v>1390840.47</v>
      </c>
      <c r="I778" s="2">
        <v>2457565.7400000002</v>
      </c>
      <c r="J778" s="2">
        <v>324751.63</v>
      </c>
      <c r="K778" s="2">
        <v>707618.24</v>
      </c>
      <c r="L778">
        <v>5.9</v>
      </c>
      <c r="M778">
        <v>59</v>
      </c>
      <c r="N778">
        <v>989</v>
      </c>
      <c r="O778">
        <v>304</v>
      </c>
      <c r="P778" t="s">
        <v>344</v>
      </c>
      <c r="Q778" t="s">
        <v>314</v>
      </c>
      <c r="R778" s="2">
        <f>Table1[[#This Row],[Global_BoxOfficeUSD]]-Table1[[#This Row],[BudgetUSD]]</f>
        <v>1652705.37</v>
      </c>
      <c r="S778" s="15">
        <f>Table1[[#This Row],[Profit]]/Table1[[#This Row],[BudgetUSD]]</f>
        <v>2.053406319409167</v>
      </c>
      <c r="T778" t="str">
        <f>IF(Table1[[#This Row],[ROI]]&gt;100%,"Hit","Flop")</f>
        <v>Hit</v>
      </c>
    </row>
    <row r="779" spans="1:20" x14ac:dyDescent="0.3">
      <c r="A779">
        <v>817</v>
      </c>
      <c r="B779" t="s">
        <v>1236</v>
      </c>
      <c r="C779" t="s">
        <v>33</v>
      </c>
      <c r="D779">
        <v>2020</v>
      </c>
      <c r="E779" s="1">
        <v>44042</v>
      </c>
      <c r="F779" t="s">
        <v>642</v>
      </c>
      <c r="G779" s="2">
        <v>726551.06</v>
      </c>
      <c r="H779" s="2">
        <v>1119620.08</v>
      </c>
      <c r="I779" s="2">
        <v>2448810.4</v>
      </c>
      <c r="J779" s="2">
        <v>114134.21</v>
      </c>
      <c r="K779" s="2">
        <v>587021.82999999996</v>
      </c>
      <c r="L779">
        <v>6</v>
      </c>
      <c r="M779">
        <v>51</v>
      </c>
      <c r="N779">
        <v>6746</v>
      </c>
      <c r="O779">
        <v>2681</v>
      </c>
      <c r="P779" t="s">
        <v>606</v>
      </c>
      <c r="Q779" t="s">
        <v>1019</v>
      </c>
      <c r="R779" s="2">
        <f>Table1[[#This Row],[Global_BoxOfficeUSD]]-Table1[[#This Row],[BudgetUSD]]</f>
        <v>1722259.3399999999</v>
      </c>
      <c r="S779" s="15">
        <f>Table1[[#This Row],[Profit]]/Table1[[#This Row],[BudgetUSD]]</f>
        <v>2.3704587809699151</v>
      </c>
      <c r="T779" t="str">
        <f>IF(Table1[[#This Row],[ROI]]&gt;100%,"Hit","Flop")</f>
        <v>Hit</v>
      </c>
    </row>
    <row r="780" spans="1:20" x14ac:dyDescent="0.3">
      <c r="A780">
        <v>481</v>
      </c>
      <c r="B780" t="s">
        <v>879</v>
      </c>
      <c r="C780" t="s">
        <v>67</v>
      </c>
      <c r="D780">
        <v>1985</v>
      </c>
      <c r="E780" s="1">
        <v>31362</v>
      </c>
      <c r="F780" t="s">
        <v>23</v>
      </c>
      <c r="G780" s="2">
        <v>1225128.56</v>
      </c>
      <c r="H780" s="2">
        <v>1439651.13</v>
      </c>
      <c r="I780" s="2">
        <v>2440061.33</v>
      </c>
      <c r="J780" s="2">
        <v>182274.47</v>
      </c>
      <c r="K780" s="2">
        <v>670759.24</v>
      </c>
      <c r="L780">
        <v>8</v>
      </c>
      <c r="M780">
        <v>97</v>
      </c>
      <c r="N780">
        <v>1025</v>
      </c>
      <c r="O780">
        <v>51</v>
      </c>
      <c r="P780" t="s">
        <v>39</v>
      </c>
      <c r="Q780" t="s">
        <v>640</v>
      </c>
      <c r="R780" s="2">
        <f>Table1[[#This Row],[Global_BoxOfficeUSD]]-Table1[[#This Row],[BudgetUSD]]</f>
        <v>1214932.77</v>
      </c>
      <c r="S780" s="15">
        <f>Table1[[#This Row],[Profit]]/Table1[[#This Row],[BudgetUSD]]</f>
        <v>0.99167777951401281</v>
      </c>
      <c r="T780" t="str">
        <f>IF(Table1[[#This Row],[ROI]]&gt;100%,"Hit","Flop")</f>
        <v>Flop</v>
      </c>
    </row>
    <row r="781" spans="1:20" x14ac:dyDescent="0.3">
      <c r="A781">
        <v>331</v>
      </c>
      <c r="B781" t="s">
        <v>681</v>
      </c>
      <c r="C781" t="s">
        <v>107</v>
      </c>
      <c r="D781">
        <v>2016</v>
      </c>
      <c r="E781" s="1">
        <v>42428</v>
      </c>
      <c r="F781" t="s">
        <v>23</v>
      </c>
      <c r="G781" s="2">
        <v>664338.51</v>
      </c>
      <c r="H781" s="2">
        <v>1400527.85</v>
      </c>
      <c r="I781" s="2">
        <v>2426949.66</v>
      </c>
      <c r="J781" s="2">
        <v>147637.85</v>
      </c>
      <c r="K781" s="2">
        <v>577824.39</v>
      </c>
      <c r="L781">
        <v>7</v>
      </c>
      <c r="M781">
        <v>76</v>
      </c>
      <c r="N781">
        <v>950</v>
      </c>
      <c r="O781">
        <v>7704</v>
      </c>
      <c r="P781" t="s">
        <v>334</v>
      </c>
      <c r="Q781" t="s">
        <v>406</v>
      </c>
      <c r="R781" s="2">
        <f>Table1[[#This Row],[Global_BoxOfficeUSD]]-Table1[[#This Row],[BudgetUSD]]</f>
        <v>1762611.1500000001</v>
      </c>
      <c r="S781" s="15">
        <f>Table1[[#This Row],[Profit]]/Table1[[#This Row],[BudgetUSD]]</f>
        <v>2.6531822609530797</v>
      </c>
      <c r="T781" t="str">
        <f>IF(Table1[[#This Row],[ROI]]&gt;100%,"Hit","Flop")</f>
        <v>Hit</v>
      </c>
    </row>
    <row r="782" spans="1:20" x14ac:dyDescent="0.3">
      <c r="A782">
        <v>323</v>
      </c>
      <c r="B782" t="s">
        <v>670</v>
      </c>
      <c r="C782" t="s">
        <v>77</v>
      </c>
      <c r="D782">
        <v>2015</v>
      </c>
      <c r="E782" s="1">
        <v>42268</v>
      </c>
      <c r="F782" t="s">
        <v>23</v>
      </c>
      <c r="G782" s="2">
        <v>669932.18999999994</v>
      </c>
      <c r="H782" s="2">
        <v>1041047.93</v>
      </c>
      <c r="I782" s="2">
        <v>2426290.14</v>
      </c>
      <c r="J782" s="2">
        <v>241880.9</v>
      </c>
      <c r="K782" s="2">
        <v>450836.78</v>
      </c>
      <c r="L782">
        <v>6.7</v>
      </c>
      <c r="M782">
        <v>69</v>
      </c>
      <c r="N782">
        <v>15705</v>
      </c>
      <c r="O782">
        <v>117</v>
      </c>
      <c r="P782" t="s">
        <v>488</v>
      </c>
      <c r="Q782" t="s">
        <v>671</v>
      </c>
      <c r="R782" s="2">
        <f>Table1[[#This Row],[Global_BoxOfficeUSD]]-Table1[[#This Row],[BudgetUSD]]</f>
        <v>1756357.9500000002</v>
      </c>
      <c r="S782" s="15">
        <f>Table1[[#This Row],[Profit]]/Table1[[#This Row],[BudgetUSD]]</f>
        <v>2.6216951151429226</v>
      </c>
      <c r="T782" t="str">
        <f>IF(Table1[[#This Row],[ROI]]&gt;100%,"Hit","Flop")</f>
        <v>Hit</v>
      </c>
    </row>
    <row r="783" spans="1:20" x14ac:dyDescent="0.3">
      <c r="A783">
        <v>711</v>
      </c>
      <c r="B783" t="s">
        <v>1130</v>
      </c>
      <c r="C783" t="s">
        <v>18</v>
      </c>
      <c r="D783">
        <v>1982</v>
      </c>
      <c r="E783" s="1">
        <v>30051</v>
      </c>
      <c r="F783" t="s">
        <v>23</v>
      </c>
      <c r="G783" s="2">
        <v>589653.84</v>
      </c>
      <c r="H783" s="2">
        <v>1135729.2</v>
      </c>
      <c r="I783" s="2">
        <v>2415974.9700000002</v>
      </c>
      <c r="J783" s="2">
        <v>298529.06</v>
      </c>
      <c r="K783" s="2">
        <v>484871.52</v>
      </c>
      <c r="L783">
        <v>5.3</v>
      </c>
      <c r="M783">
        <v>35</v>
      </c>
      <c r="N783">
        <v>4162</v>
      </c>
      <c r="O783">
        <v>352</v>
      </c>
      <c r="P783" t="s">
        <v>187</v>
      </c>
      <c r="Q783" t="s">
        <v>819</v>
      </c>
      <c r="R783" s="2">
        <f>Table1[[#This Row],[Global_BoxOfficeUSD]]-Table1[[#This Row],[BudgetUSD]]</f>
        <v>1826321.1300000004</v>
      </c>
      <c r="S783" s="15">
        <f>Table1[[#This Row],[Profit]]/Table1[[#This Row],[BudgetUSD]]</f>
        <v>3.0972767513902739</v>
      </c>
      <c r="T783" t="str">
        <f>IF(Table1[[#This Row],[ROI]]&gt;100%,"Hit","Flop")</f>
        <v>Hit</v>
      </c>
    </row>
    <row r="784" spans="1:20" x14ac:dyDescent="0.3">
      <c r="A784">
        <v>148</v>
      </c>
      <c r="B784" t="s">
        <v>384</v>
      </c>
      <c r="C784" t="s">
        <v>18</v>
      </c>
      <c r="D784">
        <v>1961</v>
      </c>
      <c r="E784" s="1">
        <v>22507</v>
      </c>
      <c r="F784" t="s">
        <v>23</v>
      </c>
      <c r="G784" s="2">
        <v>702361.59999999998</v>
      </c>
      <c r="H784" s="2">
        <v>1035002.9</v>
      </c>
      <c r="I784" s="2">
        <v>2405038.81</v>
      </c>
      <c r="J784" s="2">
        <v>248675.97</v>
      </c>
      <c r="K784" s="2">
        <v>433568.55</v>
      </c>
      <c r="L784">
        <v>9</v>
      </c>
      <c r="M784">
        <v>93</v>
      </c>
      <c r="N784">
        <v>1304</v>
      </c>
      <c r="O784">
        <v>2971</v>
      </c>
      <c r="P784" t="s">
        <v>385</v>
      </c>
      <c r="Q784" t="s">
        <v>357</v>
      </c>
      <c r="R784" s="2">
        <f>Table1[[#This Row],[Global_BoxOfficeUSD]]-Table1[[#This Row],[BudgetUSD]]</f>
        <v>1702677.21</v>
      </c>
      <c r="S784" s="15">
        <f>Table1[[#This Row],[Profit]]/Table1[[#This Row],[BudgetUSD]]</f>
        <v>2.4242173974203602</v>
      </c>
      <c r="T784" t="str">
        <f>IF(Table1[[#This Row],[ROI]]&gt;100%,"Hit","Flop")</f>
        <v>Hit</v>
      </c>
    </row>
    <row r="785" spans="1:20" x14ac:dyDescent="0.3">
      <c r="A785">
        <v>467</v>
      </c>
      <c r="B785" t="s">
        <v>860</v>
      </c>
      <c r="C785" t="s">
        <v>86</v>
      </c>
      <c r="D785">
        <v>1960</v>
      </c>
      <c r="E785" s="1">
        <v>22109</v>
      </c>
      <c r="F785" t="s">
        <v>34</v>
      </c>
      <c r="G785" s="2">
        <v>1112078.76</v>
      </c>
      <c r="H785" s="2">
        <v>1278165.3999999999</v>
      </c>
      <c r="I785" s="2">
        <v>2404713.2599999998</v>
      </c>
      <c r="J785" s="2">
        <v>146782.98000000001</v>
      </c>
      <c r="K785" s="2">
        <v>594921.54</v>
      </c>
      <c r="L785">
        <v>7</v>
      </c>
      <c r="M785">
        <v>62</v>
      </c>
      <c r="N785">
        <v>1076</v>
      </c>
      <c r="O785">
        <v>949</v>
      </c>
      <c r="P785" t="s">
        <v>861</v>
      </c>
      <c r="Q785" t="s">
        <v>338</v>
      </c>
      <c r="R785" s="2">
        <f>Table1[[#This Row],[Global_BoxOfficeUSD]]-Table1[[#This Row],[BudgetUSD]]</f>
        <v>1292634.4999999998</v>
      </c>
      <c r="S785" s="15">
        <f>Table1[[#This Row],[Profit]]/Table1[[#This Row],[BudgetUSD]]</f>
        <v>1.162358770344647</v>
      </c>
      <c r="T785" t="str">
        <f>IF(Table1[[#This Row],[ROI]]&gt;100%,"Hit","Flop")</f>
        <v>Hit</v>
      </c>
    </row>
    <row r="786" spans="1:20" x14ac:dyDescent="0.3">
      <c r="A786">
        <v>251</v>
      </c>
      <c r="B786" t="s">
        <v>571</v>
      </c>
      <c r="C786" t="s">
        <v>38</v>
      </c>
      <c r="D786">
        <v>1957</v>
      </c>
      <c r="E786" s="1">
        <v>21133</v>
      </c>
      <c r="F786" t="s">
        <v>23</v>
      </c>
      <c r="G786" s="2">
        <v>506817.57</v>
      </c>
      <c r="H786" s="2">
        <v>1579404.39</v>
      </c>
      <c r="I786" s="2">
        <v>2403020.52</v>
      </c>
      <c r="J786" s="2">
        <v>194439.98</v>
      </c>
      <c r="K786" s="2">
        <v>739600.15</v>
      </c>
      <c r="L786">
        <v>7.1</v>
      </c>
      <c r="M786">
        <v>51</v>
      </c>
      <c r="N786">
        <v>214</v>
      </c>
      <c r="O786">
        <v>136</v>
      </c>
      <c r="P786" t="s">
        <v>479</v>
      </c>
      <c r="Q786" t="s">
        <v>193</v>
      </c>
      <c r="R786" s="2">
        <f>Table1[[#This Row],[Global_BoxOfficeUSD]]-Table1[[#This Row],[BudgetUSD]]</f>
        <v>1896202.95</v>
      </c>
      <c r="S786" s="15">
        <f>Table1[[#This Row],[Profit]]/Table1[[#This Row],[BudgetUSD]]</f>
        <v>3.7413915030609535</v>
      </c>
      <c r="T786" t="str">
        <f>IF(Table1[[#This Row],[ROI]]&gt;100%,"Hit","Flop")</f>
        <v>Hit</v>
      </c>
    </row>
    <row r="787" spans="1:20" x14ac:dyDescent="0.3">
      <c r="A787">
        <v>602</v>
      </c>
      <c r="B787" t="s">
        <v>1021</v>
      </c>
      <c r="C787" t="s">
        <v>67</v>
      </c>
      <c r="D787">
        <v>2018</v>
      </c>
      <c r="E787" s="1">
        <v>43138</v>
      </c>
      <c r="F787" t="s">
        <v>23</v>
      </c>
      <c r="G787" s="2">
        <v>1200605.1299999999</v>
      </c>
      <c r="H787" s="2">
        <v>1343561.8</v>
      </c>
      <c r="I787" s="2">
        <v>2401219.54</v>
      </c>
      <c r="J787" s="2">
        <v>294899.76</v>
      </c>
      <c r="K787" s="2">
        <v>786063.67</v>
      </c>
      <c r="L787">
        <v>5.5</v>
      </c>
      <c r="M787">
        <v>60</v>
      </c>
      <c r="N787">
        <v>438</v>
      </c>
      <c r="O787">
        <v>501</v>
      </c>
      <c r="P787" t="s">
        <v>351</v>
      </c>
      <c r="Q787" t="s">
        <v>745</v>
      </c>
      <c r="R787" s="2">
        <f>Table1[[#This Row],[Global_BoxOfficeUSD]]-Table1[[#This Row],[BudgetUSD]]</f>
        <v>1200614.4100000001</v>
      </c>
      <c r="S787" s="15">
        <f>Table1[[#This Row],[Profit]]/Table1[[#This Row],[BudgetUSD]]</f>
        <v>1.0000077294355725</v>
      </c>
      <c r="T787" t="str">
        <f>IF(Table1[[#This Row],[ROI]]&gt;100%,"Hit","Flop")</f>
        <v>Hit</v>
      </c>
    </row>
    <row r="788" spans="1:20" x14ac:dyDescent="0.3">
      <c r="A788">
        <v>345</v>
      </c>
      <c r="B788" t="s">
        <v>699</v>
      </c>
      <c r="C788" t="s">
        <v>38</v>
      </c>
      <c r="D788">
        <v>2012</v>
      </c>
      <c r="E788" s="1">
        <v>41038</v>
      </c>
      <c r="F788" t="s">
        <v>139</v>
      </c>
      <c r="G788" s="2">
        <v>632797</v>
      </c>
      <c r="H788" s="2">
        <v>1655722.68</v>
      </c>
      <c r="I788" s="2">
        <v>2389766.85</v>
      </c>
      <c r="J788" s="2">
        <v>245998.93</v>
      </c>
      <c r="K788" s="2">
        <v>809387.04</v>
      </c>
      <c r="L788">
        <v>7.6</v>
      </c>
      <c r="M788">
        <v>78</v>
      </c>
      <c r="N788">
        <v>1128</v>
      </c>
      <c r="O788">
        <v>463</v>
      </c>
      <c r="P788" t="s">
        <v>599</v>
      </c>
      <c r="Q788" t="s">
        <v>100</v>
      </c>
      <c r="R788" s="2">
        <f>Table1[[#This Row],[Global_BoxOfficeUSD]]-Table1[[#This Row],[BudgetUSD]]</f>
        <v>1756969.85</v>
      </c>
      <c r="S788" s="15">
        <f>Table1[[#This Row],[Profit]]/Table1[[#This Row],[BudgetUSD]]</f>
        <v>2.7765141901747321</v>
      </c>
      <c r="T788" t="str">
        <f>IF(Table1[[#This Row],[ROI]]&gt;100%,"Hit","Flop")</f>
        <v>Hit</v>
      </c>
    </row>
    <row r="789" spans="1:20" x14ac:dyDescent="0.3">
      <c r="A789">
        <v>232</v>
      </c>
      <c r="B789" t="s">
        <v>544</v>
      </c>
      <c r="C789" t="s">
        <v>77</v>
      </c>
      <c r="D789">
        <v>2025</v>
      </c>
      <c r="E789" s="1">
        <v>45695</v>
      </c>
      <c r="F789" t="s">
        <v>23</v>
      </c>
      <c r="G789" s="2">
        <v>1300374.95</v>
      </c>
      <c r="H789" s="2">
        <v>1313968.96</v>
      </c>
      <c r="I789" s="2">
        <v>2384887.37</v>
      </c>
      <c r="J789" s="2">
        <v>223657.34</v>
      </c>
      <c r="K789" s="2">
        <v>624253.63</v>
      </c>
      <c r="L789">
        <v>6.4</v>
      </c>
      <c r="M789">
        <v>67</v>
      </c>
      <c r="N789">
        <v>2260</v>
      </c>
      <c r="O789">
        <v>2369</v>
      </c>
      <c r="P789" t="s">
        <v>52</v>
      </c>
      <c r="Q789" t="s">
        <v>165</v>
      </c>
      <c r="R789" s="2">
        <f>Table1[[#This Row],[Global_BoxOfficeUSD]]-Table1[[#This Row],[BudgetUSD]]</f>
        <v>1084512.4200000002</v>
      </c>
      <c r="S789" s="15">
        <f>Table1[[#This Row],[Profit]]/Table1[[#This Row],[BudgetUSD]]</f>
        <v>0.83399977829471428</v>
      </c>
      <c r="T789" t="str">
        <f>IF(Table1[[#This Row],[ROI]]&gt;100%,"Hit","Flop")</f>
        <v>Flop</v>
      </c>
    </row>
    <row r="790" spans="1:20" x14ac:dyDescent="0.3">
      <c r="A790">
        <v>948</v>
      </c>
      <c r="B790" t="s">
        <v>1357</v>
      </c>
      <c r="C790" t="s">
        <v>77</v>
      </c>
      <c r="D790">
        <v>2010</v>
      </c>
      <c r="E790" s="1">
        <v>40348</v>
      </c>
      <c r="F790" t="s">
        <v>139</v>
      </c>
      <c r="G790" s="2">
        <v>482916.44</v>
      </c>
      <c r="H790" s="2">
        <v>1463495.22</v>
      </c>
      <c r="I790" s="2">
        <v>2381813.7000000002</v>
      </c>
      <c r="J790" s="2">
        <v>349606.06</v>
      </c>
      <c r="K790" s="2">
        <v>701647.04</v>
      </c>
      <c r="L790">
        <v>5.5</v>
      </c>
      <c r="M790">
        <v>42</v>
      </c>
      <c r="N790">
        <v>1545</v>
      </c>
      <c r="O790">
        <v>207</v>
      </c>
      <c r="P790" t="s">
        <v>453</v>
      </c>
      <c r="Q790" t="s">
        <v>780</v>
      </c>
      <c r="R790" s="2">
        <f>Table1[[#This Row],[Global_BoxOfficeUSD]]-Table1[[#This Row],[BudgetUSD]]</f>
        <v>1898897.2600000002</v>
      </c>
      <c r="S790" s="15">
        <f>Table1[[#This Row],[Profit]]/Table1[[#This Row],[BudgetUSD]]</f>
        <v>3.9321445755708799</v>
      </c>
      <c r="T790" t="str">
        <f>IF(Table1[[#This Row],[ROI]]&gt;100%,"Hit","Flop")</f>
        <v>Hit</v>
      </c>
    </row>
    <row r="791" spans="1:20" x14ac:dyDescent="0.3">
      <c r="A791">
        <v>504</v>
      </c>
      <c r="B791" t="s">
        <v>910</v>
      </c>
      <c r="C791" t="s">
        <v>77</v>
      </c>
      <c r="D791">
        <v>1985</v>
      </c>
      <c r="E791" s="1">
        <v>31145</v>
      </c>
      <c r="F791" t="s">
        <v>23</v>
      </c>
      <c r="G791" s="2">
        <v>1414898.67</v>
      </c>
      <c r="H791" s="2">
        <v>1093232.45</v>
      </c>
      <c r="I791" s="2">
        <v>2367999.36</v>
      </c>
      <c r="J791" s="2">
        <v>251761.36</v>
      </c>
      <c r="K791" s="2">
        <v>597513.85</v>
      </c>
      <c r="L791">
        <v>4.5</v>
      </c>
      <c r="M791">
        <v>25</v>
      </c>
      <c r="N791">
        <v>1054</v>
      </c>
      <c r="O791">
        <v>1156</v>
      </c>
      <c r="P791" t="s">
        <v>344</v>
      </c>
      <c r="Q791" t="s">
        <v>911</v>
      </c>
      <c r="R791" s="2">
        <f>Table1[[#This Row],[Global_BoxOfficeUSD]]-Table1[[#This Row],[BudgetUSD]]</f>
        <v>953100.69</v>
      </c>
      <c r="S791" s="15">
        <f>Table1[[#This Row],[Profit]]/Table1[[#This Row],[BudgetUSD]]</f>
        <v>0.67361763086539617</v>
      </c>
      <c r="T791" t="str">
        <f>IF(Table1[[#This Row],[ROI]]&gt;100%,"Hit","Flop")</f>
        <v>Flop</v>
      </c>
    </row>
    <row r="792" spans="1:20" x14ac:dyDescent="0.3">
      <c r="A792">
        <v>929</v>
      </c>
      <c r="B792" t="s">
        <v>1336</v>
      </c>
      <c r="C792" t="s">
        <v>67</v>
      </c>
      <c r="D792">
        <v>1990</v>
      </c>
      <c r="E792" s="1">
        <v>33132</v>
      </c>
      <c r="F792" t="s">
        <v>23</v>
      </c>
      <c r="G792" s="2">
        <v>2360810.19</v>
      </c>
      <c r="H792" s="2">
        <v>1608304.19</v>
      </c>
      <c r="I792" s="2">
        <v>2360810.19</v>
      </c>
      <c r="J792" s="2">
        <v>323732.96000000002</v>
      </c>
      <c r="K792" s="2">
        <v>931429.27</v>
      </c>
      <c r="L792">
        <v>7.5</v>
      </c>
      <c r="M792">
        <v>80</v>
      </c>
      <c r="N792">
        <v>18785</v>
      </c>
      <c r="O792">
        <v>161</v>
      </c>
      <c r="P792" t="s">
        <v>161</v>
      </c>
      <c r="Q792" t="s">
        <v>1093</v>
      </c>
      <c r="R792" s="2">
        <f>Table1[[#This Row],[Global_BoxOfficeUSD]]-Table1[[#This Row],[BudgetUSD]]</f>
        <v>0</v>
      </c>
      <c r="S792" s="15">
        <f>Table1[[#This Row],[Profit]]/Table1[[#This Row],[BudgetUSD]]</f>
        <v>0</v>
      </c>
      <c r="T792" t="str">
        <f>IF(Table1[[#This Row],[ROI]]&gt;100%,"Hit","Flop")</f>
        <v>Flop</v>
      </c>
    </row>
    <row r="793" spans="1:20" x14ac:dyDescent="0.3">
      <c r="A793">
        <v>984</v>
      </c>
      <c r="B793" t="s">
        <v>1394</v>
      </c>
      <c r="C793" t="s">
        <v>18</v>
      </c>
      <c r="D793">
        <v>1979</v>
      </c>
      <c r="E793" s="1">
        <v>28889</v>
      </c>
      <c r="F793" t="s">
        <v>23</v>
      </c>
      <c r="G793" s="2">
        <v>599016</v>
      </c>
      <c r="H793" s="2">
        <v>1444264.51</v>
      </c>
      <c r="I793" s="2">
        <v>2359367.66</v>
      </c>
      <c r="J793" s="2">
        <v>357896.17</v>
      </c>
      <c r="K793" s="2">
        <v>738612.1</v>
      </c>
      <c r="L793">
        <v>3.6</v>
      </c>
      <c r="M793">
        <v>33</v>
      </c>
      <c r="N793">
        <v>169</v>
      </c>
      <c r="O793">
        <v>17631</v>
      </c>
      <c r="P793" t="s">
        <v>472</v>
      </c>
      <c r="Q793" t="s">
        <v>640</v>
      </c>
      <c r="R793" s="2">
        <f>Table1[[#This Row],[Global_BoxOfficeUSD]]-Table1[[#This Row],[BudgetUSD]]</f>
        <v>1760351.6600000001</v>
      </c>
      <c r="S793" s="15">
        <f>Table1[[#This Row],[Profit]]/Table1[[#This Row],[BudgetUSD]]</f>
        <v>2.9387389652363209</v>
      </c>
      <c r="T793" t="str">
        <f>IF(Table1[[#This Row],[ROI]]&gt;100%,"Hit","Flop")</f>
        <v>Hit</v>
      </c>
    </row>
    <row r="794" spans="1:20" x14ac:dyDescent="0.3">
      <c r="A794">
        <v>695</v>
      </c>
      <c r="B794" t="s">
        <v>1114</v>
      </c>
      <c r="C794" t="s">
        <v>67</v>
      </c>
      <c r="D794">
        <v>1955</v>
      </c>
      <c r="E794" s="1">
        <v>20127</v>
      </c>
      <c r="F794" t="s">
        <v>23</v>
      </c>
      <c r="G794" s="2">
        <v>534423.56000000006</v>
      </c>
      <c r="H794" s="2">
        <v>1581884.61</v>
      </c>
      <c r="I794" s="2">
        <v>2348320.06</v>
      </c>
      <c r="J794" s="2">
        <v>461405.98</v>
      </c>
      <c r="K794" s="2">
        <v>908378.1</v>
      </c>
      <c r="L794">
        <v>8.6</v>
      </c>
      <c r="M794">
        <v>97</v>
      </c>
      <c r="N794">
        <v>5352</v>
      </c>
      <c r="O794">
        <v>3991</v>
      </c>
      <c r="P794" t="s">
        <v>370</v>
      </c>
      <c r="Q794" t="s">
        <v>1019</v>
      </c>
      <c r="R794" s="2">
        <f>Table1[[#This Row],[Global_BoxOfficeUSD]]-Table1[[#This Row],[BudgetUSD]]</f>
        <v>1813896.5</v>
      </c>
      <c r="S794" s="15">
        <f>Table1[[#This Row],[Profit]]/Table1[[#This Row],[BudgetUSD]]</f>
        <v>3.3941177668140226</v>
      </c>
      <c r="T794" t="str">
        <f>IF(Table1[[#This Row],[ROI]]&gt;100%,"Hit","Flop")</f>
        <v>Hit</v>
      </c>
    </row>
    <row r="795" spans="1:20" x14ac:dyDescent="0.3">
      <c r="A795">
        <v>19</v>
      </c>
      <c r="B795" t="s">
        <v>79</v>
      </c>
      <c r="C795" t="s">
        <v>38</v>
      </c>
      <c r="D795">
        <v>2009</v>
      </c>
      <c r="E795" s="1">
        <v>40140</v>
      </c>
      <c r="F795" t="s">
        <v>34</v>
      </c>
      <c r="G795" s="2">
        <v>1184356.93</v>
      </c>
      <c r="H795" s="2">
        <v>1459831.77</v>
      </c>
      <c r="I795" s="2">
        <v>2344529.83</v>
      </c>
      <c r="J795" s="2">
        <v>435180.88</v>
      </c>
      <c r="K795" s="2">
        <v>677505.19</v>
      </c>
      <c r="L795">
        <v>4.2</v>
      </c>
      <c r="M795">
        <v>55</v>
      </c>
      <c r="N795">
        <v>14306</v>
      </c>
      <c r="O795">
        <v>644</v>
      </c>
      <c r="P795" t="s">
        <v>80</v>
      </c>
      <c r="Q795" t="s">
        <v>81</v>
      </c>
      <c r="R795" s="2">
        <f>Table1[[#This Row],[Global_BoxOfficeUSD]]-Table1[[#This Row],[BudgetUSD]]</f>
        <v>1160172.9000000001</v>
      </c>
      <c r="S795" s="15">
        <f>Table1[[#This Row],[Profit]]/Table1[[#This Row],[BudgetUSD]]</f>
        <v>0.97958045468607191</v>
      </c>
      <c r="T795" t="str">
        <f>IF(Table1[[#This Row],[ROI]]&gt;100%,"Hit","Flop")</f>
        <v>Flop</v>
      </c>
    </row>
    <row r="796" spans="1:20" x14ac:dyDescent="0.3">
      <c r="A796">
        <v>275</v>
      </c>
      <c r="B796" t="s">
        <v>608</v>
      </c>
      <c r="C796" t="s">
        <v>33</v>
      </c>
      <c r="D796">
        <v>1995</v>
      </c>
      <c r="E796" s="1">
        <v>34867</v>
      </c>
      <c r="F796" t="s">
        <v>23</v>
      </c>
      <c r="G796" s="2">
        <v>1824890.98</v>
      </c>
      <c r="H796" s="2">
        <v>1576117.96</v>
      </c>
      <c r="I796" s="2">
        <v>2334419.0499999998</v>
      </c>
      <c r="J796" s="2">
        <v>285484.82</v>
      </c>
      <c r="K796" s="2">
        <v>867923.33</v>
      </c>
      <c r="L796">
        <v>5.9</v>
      </c>
      <c r="M796">
        <v>40</v>
      </c>
      <c r="N796">
        <v>1673</v>
      </c>
      <c r="O796">
        <v>1864</v>
      </c>
      <c r="P796" t="s">
        <v>441</v>
      </c>
      <c r="Q796" t="s">
        <v>609</v>
      </c>
      <c r="R796" s="2">
        <f>Table1[[#This Row],[Global_BoxOfficeUSD]]-Table1[[#This Row],[BudgetUSD]]</f>
        <v>509528.06999999983</v>
      </c>
      <c r="S796" s="15">
        <f>Table1[[#This Row],[Profit]]/Table1[[#This Row],[BudgetUSD]]</f>
        <v>0.27921014218613754</v>
      </c>
      <c r="T796" t="str">
        <f>IF(Table1[[#This Row],[ROI]]&gt;100%,"Hit","Flop")</f>
        <v>Flop</v>
      </c>
    </row>
    <row r="797" spans="1:20" x14ac:dyDescent="0.3">
      <c r="A797">
        <v>31</v>
      </c>
      <c r="B797" t="s">
        <v>113</v>
      </c>
      <c r="C797" t="s">
        <v>67</v>
      </c>
      <c r="D797">
        <v>1996</v>
      </c>
      <c r="E797" s="1">
        <v>35329</v>
      </c>
      <c r="F797" t="s">
        <v>23</v>
      </c>
      <c r="G797" s="2">
        <v>1172141.81</v>
      </c>
      <c r="H797" s="2">
        <v>1482929.54</v>
      </c>
      <c r="I797" s="2">
        <v>2282612.88</v>
      </c>
      <c r="J797" s="2">
        <v>200603.95</v>
      </c>
      <c r="K797" s="2">
        <v>680917.04</v>
      </c>
      <c r="L797">
        <v>9.3000000000000007</v>
      </c>
      <c r="M797">
        <v>80</v>
      </c>
      <c r="N797">
        <v>239</v>
      </c>
      <c r="O797">
        <v>3468</v>
      </c>
      <c r="P797" t="s">
        <v>114</v>
      </c>
      <c r="Q797" t="s">
        <v>115</v>
      </c>
      <c r="R797" s="2">
        <f>Table1[[#This Row],[Global_BoxOfficeUSD]]-Table1[[#This Row],[BudgetUSD]]</f>
        <v>1110471.0699999998</v>
      </c>
      <c r="S797" s="15">
        <f>Table1[[#This Row],[Profit]]/Table1[[#This Row],[BudgetUSD]]</f>
        <v>0.94738628084600085</v>
      </c>
      <c r="T797" t="str">
        <f>IF(Table1[[#This Row],[ROI]]&gt;100%,"Hit","Flop")</f>
        <v>Flop</v>
      </c>
    </row>
    <row r="798" spans="1:20" x14ac:dyDescent="0.3">
      <c r="A798">
        <v>647</v>
      </c>
      <c r="B798" t="s">
        <v>1067</v>
      </c>
      <c r="C798" t="s">
        <v>38</v>
      </c>
      <c r="D798">
        <v>1975</v>
      </c>
      <c r="E798" s="1">
        <v>27583</v>
      </c>
      <c r="F798" t="s">
        <v>19</v>
      </c>
      <c r="G798" s="2">
        <v>1461308.34</v>
      </c>
      <c r="H798" s="2">
        <v>1248674.02</v>
      </c>
      <c r="I798" s="2">
        <v>2276379.56</v>
      </c>
      <c r="J798" s="2">
        <v>308083.34000000003</v>
      </c>
      <c r="K798" s="2">
        <v>534707.42000000004</v>
      </c>
      <c r="L798">
        <v>5</v>
      </c>
      <c r="M798">
        <v>57</v>
      </c>
      <c r="N798">
        <v>1635</v>
      </c>
      <c r="O798">
        <v>12211</v>
      </c>
      <c r="P798" t="s">
        <v>30</v>
      </c>
      <c r="Q798" t="s">
        <v>1068</v>
      </c>
      <c r="R798" s="2">
        <f>Table1[[#This Row],[Global_BoxOfficeUSD]]-Table1[[#This Row],[BudgetUSD]]</f>
        <v>815071.22</v>
      </c>
      <c r="S798" s="15">
        <f>Table1[[#This Row],[Profit]]/Table1[[#This Row],[BudgetUSD]]</f>
        <v>0.55776812989379088</v>
      </c>
      <c r="T798" t="str">
        <f>IF(Table1[[#This Row],[ROI]]&gt;100%,"Hit","Flop")</f>
        <v>Flop</v>
      </c>
    </row>
    <row r="799" spans="1:20" x14ac:dyDescent="0.3">
      <c r="A799">
        <v>208</v>
      </c>
      <c r="B799" t="s">
        <v>505</v>
      </c>
      <c r="C799" t="s">
        <v>33</v>
      </c>
      <c r="D799">
        <v>2022</v>
      </c>
      <c r="E799" s="1">
        <v>44727</v>
      </c>
      <c r="F799" t="s">
        <v>139</v>
      </c>
      <c r="G799" s="2">
        <v>2274800.0699999998</v>
      </c>
      <c r="H799" s="2">
        <v>928026.22</v>
      </c>
      <c r="I799" s="2">
        <v>2274800.0699999998</v>
      </c>
      <c r="J799" s="2">
        <v>218898.71</v>
      </c>
      <c r="K799" s="2">
        <v>535479.68999999994</v>
      </c>
      <c r="L799">
        <v>4.3</v>
      </c>
      <c r="M799">
        <v>43</v>
      </c>
      <c r="N799">
        <v>4981</v>
      </c>
      <c r="O799">
        <v>1033</v>
      </c>
      <c r="P799" t="s">
        <v>117</v>
      </c>
      <c r="Q799" t="s">
        <v>28</v>
      </c>
      <c r="R799" s="2">
        <f>Table1[[#This Row],[Global_BoxOfficeUSD]]-Table1[[#This Row],[BudgetUSD]]</f>
        <v>0</v>
      </c>
      <c r="S799" s="15">
        <f>Table1[[#This Row],[Profit]]/Table1[[#This Row],[BudgetUSD]]</f>
        <v>0</v>
      </c>
      <c r="T799" t="str">
        <f>IF(Table1[[#This Row],[ROI]]&gt;100%,"Hit","Flop")</f>
        <v>Flop</v>
      </c>
    </row>
    <row r="800" spans="1:20" x14ac:dyDescent="0.3">
      <c r="A800">
        <v>465</v>
      </c>
      <c r="B800" t="s">
        <v>858</v>
      </c>
      <c r="C800" t="s">
        <v>38</v>
      </c>
      <c r="D800">
        <v>1999</v>
      </c>
      <c r="E800" s="1">
        <v>36509</v>
      </c>
      <c r="F800" t="s">
        <v>139</v>
      </c>
      <c r="G800" s="2">
        <v>466687.42</v>
      </c>
      <c r="H800" s="2">
        <v>1535195.73</v>
      </c>
      <c r="I800" s="2">
        <v>2273339.34</v>
      </c>
      <c r="J800" s="2">
        <v>239784.43</v>
      </c>
      <c r="K800" s="2">
        <v>912970.01</v>
      </c>
      <c r="L800">
        <v>5.3</v>
      </c>
      <c r="M800">
        <v>58</v>
      </c>
      <c r="N800">
        <v>6393</v>
      </c>
      <c r="O800">
        <v>1281</v>
      </c>
      <c r="P800" t="s">
        <v>356</v>
      </c>
      <c r="Q800" t="s">
        <v>299</v>
      </c>
      <c r="R800" s="2">
        <f>Table1[[#This Row],[Global_BoxOfficeUSD]]-Table1[[#This Row],[BudgetUSD]]</f>
        <v>1806651.92</v>
      </c>
      <c r="S800" s="15">
        <f>Table1[[#This Row],[Profit]]/Table1[[#This Row],[BudgetUSD]]</f>
        <v>3.8712248125308371</v>
      </c>
      <c r="T800" t="str">
        <f>IF(Table1[[#This Row],[ROI]]&gt;100%,"Hit","Flop")</f>
        <v>Hit</v>
      </c>
    </row>
    <row r="801" spans="1:20" x14ac:dyDescent="0.3">
      <c r="A801">
        <v>322</v>
      </c>
      <c r="B801" t="s">
        <v>669</v>
      </c>
      <c r="C801" t="s">
        <v>86</v>
      </c>
      <c r="D801">
        <v>2025</v>
      </c>
      <c r="E801" s="1">
        <v>45716</v>
      </c>
      <c r="F801" t="s">
        <v>23</v>
      </c>
      <c r="G801" s="2">
        <v>911830.98</v>
      </c>
      <c r="H801" s="2">
        <v>973476.87</v>
      </c>
      <c r="I801" s="2">
        <v>2271678.56</v>
      </c>
      <c r="J801" s="2">
        <v>116221.16</v>
      </c>
      <c r="K801" s="2">
        <v>401488.52</v>
      </c>
      <c r="L801">
        <v>4.8</v>
      </c>
      <c r="M801">
        <v>47</v>
      </c>
      <c r="N801">
        <v>281</v>
      </c>
      <c r="O801">
        <v>83</v>
      </c>
      <c r="P801" t="s">
        <v>421</v>
      </c>
      <c r="Q801" t="s">
        <v>147</v>
      </c>
      <c r="R801" s="2">
        <f>Table1[[#This Row],[Global_BoxOfficeUSD]]-Table1[[#This Row],[BudgetUSD]]</f>
        <v>1359847.58</v>
      </c>
      <c r="S801" s="15">
        <f>Table1[[#This Row],[Profit]]/Table1[[#This Row],[BudgetUSD]]</f>
        <v>1.4913373309601743</v>
      </c>
      <c r="T801" t="str">
        <f>IF(Table1[[#This Row],[ROI]]&gt;100%,"Hit","Flop")</f>
        <v>Hit</v>
      </c>
    </row>
    <row r="802" spans="1:20" x14ac:dyDescent="0.3">
      <c r="A802">
        <v>53</v>
      </c>
      <c r="B802" t="s">
        <v>176</v>
      </c>
      <c r="C802" t="s">
        <v>18</v>
      </c>
      <c r="D802">
        <v>2018</v>
      </c>
      <c r="E802" s="1">
        <v>43199</v>
      </c>
      <c r="F802" t="s">
        <v>23</v>
      </c>
      <c r="G802" s="2">
        <v>1277927.48</v>
      </c>
      <c r="H802" s="2">
        <v>1342671.7</v>
      </c>
      <c r="I802" s="2">
        <v>2264163.1800000002</v>
      </c>
      <c r="J802" s="2">
        <v>331796.25</v>
      </c>
      <c r="K802" s="2">
        <v>778078.36</v>
      </c>
      <c r="L802">
        <v>5.7</v>
      </c>
      <c r="M802">
        <v>54</v>
      </c>
      <c r="N802">
        <v>579</v>
      </c>
      <c r="O802">
        <v>853</v>
      </c>
      <c r="P802" t="s">
        <v>177</v>
      </c>
      <c r="Q802" t="s">
        <v>178</v>
      </c>
      <c r="R802" s="2">
        <f>Table1[[#This Row],[Global_BoxOfficeUSD]]-Table1[[#This Row],[BudgetUSD]]</f>
        <v>986235.70000000019</v>
      </c>
      <c r="S802" s="15">
        <f>Table1[[#This Row],[Profit]]/Table1[[#This Row],[BudgetUSD]]</f>
        <v>0.77174621833783574</v>
      </c>
      <c r="T802" t="str">
        <f>IF(Table1[[#This Row],[ROI]]&gt;100%,"Hit","Flop")</f>
        <v>Flop</v>
      </c>
    </row>
    <row r="803" spans="1:20" x14ac:dyDescent="0.3">
      <c r="A803">
        <v>277</v>
      </c>
      <c r="B803" t="s">
        <v>612</v>
      </c>
      <c r="C803" t="s">
        <v>38</v>
      </c>
      <c r="D803">
        <v>1963</v>
      </c>
      <c r="E803" s="1">
        <v>23188</v>
      </c>
      <c r="F803" t="s">
        <v>23</v>
      </c>
      <c r="G803" s="2">
        <v>2248647.21</v>
      </c>
      <c r="H803" s="2">
        <v>1331249.47</v>
      </c>
      <c r="I803" s="2">
        <v>2248647.21</v>
      </c>
      <c r="J803" s="2">
        <v>377647.42</v>
      </c>
      <c r="K803" s="2">
        <v>777046.58</v>
      </c>
      <c r="L803">
        <v>8.3000000000000007</v>
      </c>
      <c r="M803">
        <v>74</v>
      </c>
      <c r="N803">
        <v>1445</v>
      </c>
      <c r="O803">
        <v>17899</v>
      </c>
      <c r="P803" t="s">
        <v>227</v>
      </c>
      <c r="Q803" t="s">
        <v>613</v>
      </c>
      <c r="R803" s="2">
        <f>Table1[[#This Row],[Global_BoxOfficeUSD]]-Table1[[#This Row],[BudgetUSD]]</f>
        <v>0</v>
      </c>
      <c r="S803" s="15">
        <f>Table1[[#This Row],[Profit]]/Table1[[#This Row],[BudgetUSD]]</f>
        <v>0</v>
      </c>
      <c r="T803" t="str">
        <f>IF(Table1[[#This Row],[ROI]]&gt;100%,"Hit","Flop")</f>
        <v>Flop</v>
      </c>
    </row>
    <row r="804" spans="1:20" x14ac:dyDescent="0.3">
      <c r="A804">
        <v>188</v>
      </c>
      <c r="B804" t="s">
        <v>467</v>
      </c>
      <c r="C804" t="s">
        <v>45</v>
      </c>
      <c r="D804">
        <v>1964</v>
      </c>
      <c r="E804" s="1">
        <v>23545</v>
      </c>
      <c r="F804" t="s">
        <v>23</v>
      </c>
      <c r="G804" s="2">
        <v>1519310.2</v>
      </c>
      <c r="H804" s="2">
        <v>1151469.8700000001</v>
      </c>
      <c r="I804" s="2">
        <v>2240092.9300000002</v>
      </c>
      <c r="J804" s="2">
        <v>222087.72</v>
      </c>
      <c r="K804" s="2">
        <v>504217.85</v>
      </c>
      <c r="L804">
        <v>7</v>
      </c>
      <c r="M804">
        <v>58</v>
      </c>
      <c r="N804">
        <v>24538</v>
      </c>
      <c r="O804">
        <v>2602</v>
      </c>
      <c r="P804" t="s">
        <v>49</v>
      </c>
      <c r="Q804" t="s">
        <v>258</v>
      </c>
      <c r="R804" s="2">
        <f>Table1[[#This Row],[Global_BoxOfficeUSD]]-Table1[[#This Row],[BudgetUSD]]</f>
        <v>720782.73000000021</v>
      </c>
      <c r="S804" s="15">
        <f>Table1[[#This Row],[Profit]]/Table1[[#This Row],[BudgetUSD]]</f>
        <v>0.47441446124695291</v>
      </c>
      <c r="T804" t="str">
        <f>IF(Table1[[#This Row],[ROI]]&gt;100%,"Hit","Flop")</f>
        <v>Flop</v>
      </c>
    </row>
    <row r="805" spans="1:20" x14ac:dyDescent="0.3">
      <c r="A805">
        <v>265</v>
      </c>
      <c r="B805" t="s">
        <v>589</v>
      </c>
      <c r="C805" t="s">
        <v>107</v>
      </c>
      <c r="D805">
        <v>1972</v>
      </c>
      <c r="E805" s="1">
        <v>26476</v>
      </c>
      <c r="F805" t="s">
        <v>23</v>
      </c>
      <c r="G805" s="2">
        <v>532003.77</v>
      </c>
      <c r="H805" s="2">
        <v>1455207.72</v>
      </c>
      <c r="I805" s="2">
        <v>2173663.7999999998</v>
      </c>
      <c r="J805" s="2">
        <v>188512.29</v>
      </c>
      <c r="K805" s="2">
        <v>813181.98</v>
      </c>
      <c r="L805">
        <v>7.8</v>
      </c>
      <c r="M805">
        <v>58</v>
      </c>
      <c r="N805">
        <v>11153</v>
      </c>
      <c r="O805">
        <v>63</v>
      </c>
      <c r="P805" t="s">
        <v>156</v>
      </c>
      <c r="Q805" t="s">
        <v>590</v>
      </c>
      <c r="R805" s="2">
        <f>Table1[[#This Row],[Global_BoxOfficeUSD]]-Table1[[#This Row],[BudgetUSD]]</f>
        <v>1641660.0299999998</v>
      </c>
      <c r="S805" s="15">
        <f>Table1[[#This Row],[Profit]]/Table1[[#This Row],[BudgetUSD]]</f>
        <v>3.0858052566056058</v>
      </c>
      <c r="T805" t="str">
        <f>IF(Table1[[#This Row],[ROI]]&gt;100%,"Hit","Flop")</f>
        <v>Hit</v>
      </c>
    </row>
    <row r="806" spans="1:20" x14ac:dyDescent="0.3">
      <c r="A806">
        <v>588</v>
      </c>
      <c r="B806" t="s">
        <v>644</v>
      </c>
      <c r="C806" t="s">
        <v>38</v>
      </c>
      <c r="D806">
        <v>1984</v>
      </c>
      <c r="E806" s="1">
        <v>30823</v>
      </c>
      <c r="F806" t="s">
        <v>23</v>
      </c>
      <c r="G806" s="2">
        <v>770862.63</v>
      </c>
      <c r="H806" s="2">
        <v>1475169.46</v>
      </c>
      <c r="I806" s="2">
        <v>2173483.5699999998</v>
      </c>
      <c r="J806" s="2">
        <v>174135.93</v>
      </c>
      <c r="K806" s="2">
        <v>715239.45</v>
      </c>
      <c r="L806">
        <v>8.6999999999999993</v>
      </c>
      <c r="M806">
        <v>93</v>
      </c>
      <c r="N806">
        <v>2277</v>
      </c>
      <c r="O806">
        <v>208</v>
      </c>
      <c r="P806" t="s">
        <v>703</v>
      </c>
      <c r="Q806" t="s">
        <v>193</v>
      </c>
      <c r="R806" s="2">
        <f>Table1[[#This Row],[Global_BoxOfficeUSD]]-Table1[[#This Row],[BudgetUSD]]</f>
        <v>1402620.94</v>
      </c>
      <c r="S806" s="15">
        <f>Table1[[#This Row],[Profit]]/Table1[[#This Row],[BudgetUSD]]</f>
        <v>1.8195471999985262</v>
      </c>
      <c r="T806" t="str">
        <f>IF(Table1[[#This Row],[ROI]]&gt;100%,"Hit","Flop")</f>
        <v>Hit</v>
      </c>
    </row>
    <row r="807" spans="1:20" x14ac:dyDescent="0.3">
      <c r="A807">
        <v>364</v>
      </c>
      <c r="B807" t="s">
        <v>726</v>
      </c>
      <c r="C807" t="s">
        <v>67</v>
      </c>
      <c r="D807">
        <v>2009</v>
      </c>
      <c r="E807" s="1">
        <v>40104</v>
      </c>
      <c r="F807" t="s">
        <v>23</v>
      </c>
      <c r="G807" s="2">
        <v>2171332.37</v>
      </c>
      <c r="H807" s="2">
        <v>1329810.6499999999</v>
      </c>
      <c r="I807" s="2">
        <v>2171332.37</v>
      </c>
      <c r="J807" s="2">
        <v>331926.59000000003</v>
      </c>
      <c r="K807" s="2">
        <v>687642.25</v>
      </c>
      <c r="L807">
        <v>8.5</v>
      </c>
      <c r="M807">
        <v>90</v>
      </c>
      <c r="N807">
        <v>3408</v>
      </c>
      <c r="O807">
        <v>2922</v>
      </c>
      <c r="P807" t="s">
        <v>727</v>
      </c>
      <c r="Q807" t="s">
        <v>196</v>
      </c>
      <c r="R807" s="2">
        <f>Table1[[#This Row],[Global_BoxOfficeUSD]]-Table1[[#This Row],[BudgetUSD]]</f>
        <v>0</v>
      </c>
      <c r="S807" s="15">
        <f>Table1[[#This Row],[Profit]]/Table1[[#This Row],[BudgetUSD]]</f>
        <v>0</v>
      </c>
      <c r="T807" t="str">
        <f>IF(Table1[[#This Row],[ROI]]&gt;100%,"Hit","Flop")</f>
        <v>Flop</v>
      </c>
    </row>
    <row r="808" spans="1:20" x14ac:dyDescent="0.3">
      <c r="A808">
        <v>521</v>
      </c>
      <c r="B808" t="s">
        <v>928</v>
      </c>
      <c r="C808" t="s">
        <v>38</v>
      </c>
      <c r="D808">
        <v>2006</v>
      </c>
      <c r="E808" s="1">
        <v>38836</v>
      </c>
      <c r="F808" t="s">
        <v>23</v>
      </c>
      <c r="G808" s="2">
        <v>1154823.92</v>
      </c>
      <c r="H808" s="2">
        <v>918205.06</v>
      </c>
      <c r="I808" s="2">
        <v>2139339.7799999998</v>
      </c>
      <c r="J808" s="2">
        <v>189055.2</v>
      </c>
      <c r="K808" s="2">
        <v>534314.65</v>
      </c>
      <c r="L808">
        <v>7.5</v>
      </c>
      <c r="M808">
        <v>69</v>
      </c>
      <c r="N808">
        <v>666</v>
      </c>
      <c r="O808">
        <v>50</v>
      </c>
      <c r="P808" t="s">
        <v>386</v>
      </c>
      <c r="Q808" t="s">
        <v>295</v>
      </c>
      <c r="R808" s="2">
        <f>Table1[[#This Row],[Global_BoxOfficeUSD]]-Table1[[#This Row],[BudgetUSD]]</f>
        <v>984515.85999999987</v>
      </c>
      <c r="S808" s="15">
        <f>Table1[[#This Row],[Profit]]/Table1[[#This Row],[BudgetUSD]]</f>
        <v>0.85252465155034196</v>
      </c>
      <c r="T808" t="str">
        <f>IF(Table1[[#This Row],[ROI]]&gt;100%,"Hit","Flop")</f>
        <v>Flop</v>
      </c>
    </row>
    <row r="809" spans="1:20" x14ac:dyDescent="0.3">
      <c r="A809">
        <v>974</v>
      </c>
      <c r="B809" t="s">
        <v>1384</v>
      </c>
      <c r="C809" t="s">
        <v>38</v>
      </c>
      <c r="D809">
        <v>1964</v>
      </c>
      <c r="E809" s="1">
        <v>23538</v>
      </c>
      <c r="F809" t="s">
        <v>249</v>
      </c>
      <c r="G809" s="2">
        <v>589823.16</v>
      </c>
      <c r="H809" s="2">
        <v>1119946.1499999999</v>
      </c>
      <c r="I809" s="2">
        <v>2121687.9300000002</v>
      </c>
      <c r="J809" s="2">
        <v>318930.46999999997</v>
      </c>
      <c r="K809" s="2">
        <v>652452.77</v>
      </c>
      <c r="L809">
        <v>5.6</v>
      </c>
      <c r="M809">
        <v>43</v>
      </c>
      <c r="N809">
        <v>835</v>
      </c>
      <c r="O809">
        <v>8244</v>
      </c>
      <c r="P809" t="s">
        <v>35</v>
      </c>
      <c r="Q809" t="s">
        <v>613</v>
      </c>
      <c r="R809" s="2">
        <f>Table1[[#This Row],[Global_BoxOfficeUSD]]-Table1[[#This Row],[BudgetUSD]]</f>
        <v>1531864.77</v>
      </c>
      <c r="S809" s="15">
        <f>Table1[[#This Row],[Profit]]/Table1[[#This Row],[BudgetUSD]]</f>
        <v>2.5971594096101618</v>
      </c>
      <c r="T809" t="str">
        <f>IF(Table1[[#This Row],[ROI]]&gt;100%,"Hit","Flop")</f>
        <v>Hit</v>
      </c>
    </row>
    <row r="810" spans="1:20" x14ac:dyDescent="0.3">
      <c r="A810">
        <v>45</v>
      </c>
      <c r="B810" t="s">
        <v>155</v>
      </c>
      <c r="C810" t="s">
        <v>38</v>
      </c>
      <c r="D810">
        <v>2012</v>
      </c>
      <c r="E810" s="1">
        <v>40993</v>
      </c>
      <c r="F810" t="s">
        <v>23</v>
      </c>
      <c r="G810" s="2">
        <v>435309.57</v>
      </c>
      <c r="H810" s="2">
        <v>1286177.95</v>
      </c>
      <c r="I810" s="2">
        <v>2107337.11</v>
      </c>
      <c r="J810" s="2">
        <v>267419.05</v>
      </c>
      <c r="K810" s="2">
        <v>591257.88</v>
      </c>
      <c r="L810">
        <v>4.0999999999999996</v>
      </c>
      <c r="M810">
        <v>42</v>
      </c>
      <c r="N810">
        <v>11862</v>
      </c>
      <c r="O810">
        <v>58</v>
      </c>
      <c r="P810" t="s">
        <v>156</v>
      </c>
      <c r="Q810" t="s">
        <v>109</v>
      </c>
      <c r="R810" s="2">
        <f>Table1[[#This Row],[Global_BoxOfficeUSD]]-Table1[[#This Row],[BudgetUSD]]</f>
        <v>1672027.5399999998</v>
      </c>
      <c r="S810" s="15">
        <f>Table1[[#This Row],[Profit]]/Table1[[#This Row],[BudgetUSD]]</f>
        <v>3.8410079980552685</v>
      </c>
      <c r="T810" t="str">
        <f>IF(Table1[[#This Row],[ROI]]&gt;100%,"Hit","Flop")</f>
        <v>Hit</v>
      </c>
    </row>
    <row r="811" spans="1:20" x14ac:dyDescent="0.3">
      <c r="A811">
        <v>639</v>
      </c>
      <c r="B811" t="s">
        <v>1058</v>
      </c>
      <c r="C811" t="s">
        <v>107</v>
      </c>
      <c r="D811">
        <v>1951</v>
      </c>
      <c r="E811" s="1">
        <v>18658</v>
      </c>
      <c r="F811" t="s">
        <v>23</v>
      </c>
      <c r="G811" s="2">
        <v>682545.65</v>
      </c>
      <c r="H811" s="2">
        <v>870402.35</v>
      </c>
      <c r="I811" s="2">
        <v>2106621.2799999998</v>
      </c>
      <c r="J811" s="2">
        <v>114630.75</v>
      </c>
      <c r="K811" s="2">
        <v>459149.57</v>
      </c>
      <c r="L811">
        <v>6.1</v>
      </c>
      <c r="M811">
        <v>59</v>
      </c>
      <c r="N811">
        <v>617</v>
      </c>
      <c r="O811">
        <v>50</v>
      </c>
      <c r="P811" t="s">
        <v>71</v>
      </c>
      <c r="Q811" t="s">
        <v>451</v>
      </c>
      <c r="R811" s="2">
        <f>Table1[[#This Row],[Global_BoxOfficeUSD]]-Table1[[#This Row],[BudgetUSD]]</f>
        <v>1424075.63</v>
      </c>
      <c r="S811" s="15">
        <f>Table1[[#This Row],[Profit]]/Table1[[#This Row],[BudgetUSD]]</f>
        <v>2.0864181465371581</v>
      </c>
      <c r="T811" t="str">
        <f>IF(Table1[[#This Row],[ROI]]&gt;100%,"Hit","Flop")</f>
        <v>Hit</v>
      </c>
    </row>
    <row r="812" spans="1:20" x14ac:dyDescent="0.3">
      <c r="A812">
        <v>355</v>
      </c>
      <c r="B812" t="s">
        <v>711</v>
      </c>
      <c r="C812" t="s">
        <v>18</v>
      </c>
      <c r="D812">
        <v>2006</v>
      </c>
      <c r="E812" s="1">
        <v>38789</v>
      </c>
      <c r="F812" t="s">
        <v>23</v>
      </c>
      <c r="G812" s="2">
        <v>1536997.12</v>
      </c>
      <c r="H812" s="2">
        <v>1268887.5</v>
      </c>
      <c r="I812" s="2">
        <v>2104454.73</v>
      </c>
      <c r="J812" s="2">
        <v>379974.1</v>
      </c>
      <c r="K812" s="2">
        <v>625044.91</v>
      </c>
      <c r="L812">
        <v>7.2</v>
      </c>
      <c r="M812">
        <v>69</v>
      </c>
      <c r="N812">
        <v>46242</v>
      </c>
      <c r="O812">
        <v>227</v>
      </c>
      <c r="P812" t="s">
        <v>167</v>
      </c>
      <c r="Q812" t="s">
        <v>712</v>
      </c>
      <c r="R812" s="2">
        <f>Table1[[#This Row],[Global_BoxOfficeUSD]]-Table1[[#This Row],[BudgetUSD]]</f>
        <v>567457.60999999987</v>
      </c>
      <c r="S812" s="15">
        <f>Table1[[#This Row],[Profit]]/Table1[[#This Row],[BudgetUSD]]</f>
        <v>0.36919887657304123</v>
      </c>
      <c r="T812" t="str">
        <f>IF(Table1[[#This Row],[ROI]]&gt;100%,"Hit","Flop")</f>
        <v>Flop</v>
      </c>
    </row>
    <row r="813" spans="1:20" x14ac:dyDescent="0.3">
      <c r="A813">
        <v>391</v>
      </c>
      <c r="B813" t="s">
        <v>765</v>
      </c>
      <c r="C813" t="s">
        <v>38</v>
      </c>
      <c r="D813">
        <v>2010</v>
      </c>
      <c r="E813" s="1">
        <v>40531</v>
      </c>
      <c r="F813" t="s">
        <v>23</v>
      </c>
      <c r="G813" s="2">
        <v>2095441.9</v>
      </c>
      <c r="H813" s="2">
        <v>858453.59</v>
      </c>
      <c r="I813" s="2">
        <v>2095441.9</v>
      </c>
      <c r="J813" s="2">
        <v>97628.93</v>
      </c>
      <c r="K813" s="2">
        <v>411205.7</v>
      </c>
      <c r="L813">
        <v>8.5</v>
      </c>
      <c r="M813">
        <v>79</v>
      </c>
      <c r="N813">
        <v>530</v>
      </c>
      <c r="O813">
        <v>2185</v>
      </c>
      <c r="P813" t="s">
        <v>310</v>
      </c>
      <c r="Q813" t="s">
        <v>766</v>
      </c>
      <c r="R813" s="2">
        <f>Table1[[#This Row],[Global_BoxOfficeUSD]]-Table1[[#This Row],[BudgetUSD]]</f>
        <v>0</v>
      </c>
      <c r="S813" s="15">
        <f>Table1[[#This Row],[Profit]]/Table1[[#This Row],[BudgetUSD]]</f>
        <v>0</v>
      </c>
      <c r="T813" t="str">
        <f>IF(Table1[[#This Row],[ROI]]&gt;100%,"Hit","Flop")</f>
        <v>Flop</v>
      </c>
    </row>
    <row r="814" spans="1:20" x14ac:dyDescent="0.3">
      <c r="A814">
        <v>586</v>
      </c>
      <c r="B814" t="s">
        <v>1002</v>
      </c>
      <c r="C814" t="s">
        <v>86</v>
      </c>
      <c r="D814">
        <v>1980</v>
      </c>
      <c r="E814" s="1">
        <v>29379</v>
      </c>
      <c r="F814" t="s">
        <v>23</v>
      </c>
      <c r="G814" s="2">
        <v>716739.19</v>
      </c>
      <c r="H814" s="2">
        <v>1030051.18</v>
      </c>
      <c r="I814" s="2">
        <v>2089896.45</v>
      </c>
      <c r="J814" s="2">
        <v>130804.33</v>
      </c>
      <c r="K814" s="2">
        <v>418388.86</v>
      </c>
      <c r="L814">
        <v>7.7</v>
      </c>
      <c r="M814">
        <v>79</v>
      </c>
      <c r="N814">
        <v>6610</v>
      </c>
      <c r="O814">
        <v>239</v>
      </c>
      <c r="P814" t="s">
        <v>829</v>
      </c>
      <c r="Q814" t="s">
        <v>112</v>
      </c>
      <c r="R814" s="2">
        <f>Table1[[#This Row],[Global_BoxOfficeUSD]]-Table1[[#This Row],[BudgetUSD]]</f>
        <v>1373157.26</v>
      </c>
      <c r="S814" s="15">
        <f>Table1[[#This Row],[Profit]]/Table1[[#This Row],[BudgetUSD]]</f>
        <v>1.915839511998779</v>
      </c>
      <c r="T814" t="str">
        <f>IF(Table1[[#This Row],[ROI]]&gt;100%,"Hit","Flop")</f>
        <v>Hit</v>
      </c>
    </row>
    <row r="815" spans="1:20" x14ac:dyDescent="0.3">
      <c r="A815">
        <v>22</v>
      </c>
      <c r="B815" t="s">
        <v>89</v>
      </c>
      <c r="C815" t="s">
        <v>38</v>
      </c>
      <c r="D815">
        <v>2003</v>
      </c>
      <c r="E815" s="1">
        <v>37859</v>
      </c>
      <c r="F815" t="s">
        <v>23</v>
      </c>
      <c r="G815" s="2">
        <v>2077605.68</v>
      </c>
      <c r="H815" s="2">
        <v>1208808.1000000001</v>
      </c>
      <c r="I815" s="2">
        <v>2077605.68</v>
      </c>
      <c r="J815" s="2">
        <v>186896.3</v>
      </c>
      <c r="K815" s="2">
        <v>699624.15</v>
      </c>
      <c r="L815">
        <v>5.5</v>
      </c>
      <c r="M815">
        <v>55</v>
      </c>
      <c r="N815">
        <v>27847</v>
      </c>
      <c r="O815">
        <v>6812</v>
      </c>
      <c r="P815" t="s">
        <v>90</v>
      </c>
      <c r="Q815" t="s">
        <v>91</v>
      </c>
      <c r="R815" s="2">
        <f>Table1[[#This Row],[Global_BoxOfficeUSD]]-Table1[[#This Row],[BudgetUSD]]</f>
        <v>0</v>
      </c>
      <c r="S815" s="15">
        <f>Table1[[#This Row],[Profit]]/Table1[[#This Row],[BudgetUSD]]</f>
        <v>0</v>
      </c>
      <c r="T815" t="str">
        <f>IF(Table1[[#This Row],[ROI]]&gt;100%,"Hit","Flop")</f>
        <v>Flop</v>
      </c>
    </row>
    <row r="816" spans="1:20" x14ac:dyDescent="0.3">
      <c r="A816">
        <v>550</v>
      </c>
      <c r="B816" t="s">
        <v>961</v>
      </c>
      <c r="C816" t="s">
        <v>38</v>
      </c>
      <c r="D816">
        <v>1978</v>
      </c>
      <c r="E816" s="1">
        <v>28570</v>
      </c>
      <c r="F816" t="s">
        <v>132</v>
      </c>
      <c r="G816" s="2">
        <v>1529102.1</v>
      </c>
      <c r="H816" s="2">
        <v>1024307.54</v>
      </c>
      <c r="I816" s="2">
        <v>2062817.55</v>
      </c>
      <c r="J816" s="2">
        <v>157304.85</v>
      </c>
      <c r="K816" s="2">
        <v>585236.17000000004</v>
      </c>
      <c r="L816">
        <v>8.3000000000000007</v>
      </c>
      <c r="M816">
        <v>65</v>
      </c>
      <c r="N816">
        <v>12533</v>
      </c>
      <c r="O816">
        <v>225</v>
      </c>
      <c r="P816" t="s">
        <v>548</v>
      </c>
      <c r="Q816" t="s">
        <v>613</v>
      </c>
      <c r="R816" s="2">
        <f>Table1[[#This Row],[Global_BoxOfficeUSD]]-Table1[[#This Row],[BudgetUSD]]</f>
        <v>533715.44999999995</v>
      </c>
      <c r="S816" s="15">
        <f>Table1[[#This Row],[Profit]]/Table1[[#This Row],[BudgetUSD]]</f>
        <v>0.34903846512276709</v>
      </c>
      <c r="T816" t="str">
        <f>IF(Table1[[#This Row],[ROI]]&gt;100%,"Hit","Flop")</f>
        <v>Flop</v>
      </c>
    </row>
    <row r="817" spans="1:20" x14ac:dyDescent="0.3">
      <c r="A817">
        <v>791</v>
      </c>
      <c r="B817" t="s">
        <v>1211</v>
      </c>
      <c r="C817" t="s">
        <v>45</v>
      </c>
      <c r="D817">
        <v>1980</v>
      </c>
      <c r="E817" s="1">
        <v>29436</v>
      </c>
      <c r="F817" t="s">
        <v>23</v>
      </c>
      <c r="G817" s="2">
        <v>1890646.51</v>
      </c>
      <c r="H817" s="2">
        <v>1438165.02</v>
      </c>
      <c r="I817" s="2">
        <v>2055475.59</v>
      </c>
      <c r="J817" s="2">
        <v>344416.62</v>
      </c>
      <c r="K817" s="2">
        <v>774496.21</v>
      </c>
      <c r="L817">
        <v>7.1</v>
      </c>
      <c r="M817">
        <v>79</v>
      </c>
      <c r="N817">
        <v>413</v>
      </c>
      <c r="O817">
        <v>50</v>
      </c>
      <c r="P817" t="s">
        <v>769</v>
      </c>
      <c r="Q817" t="s">
        <v>428</v>
      </c>
      <c r="R817" s="2">
        <f>Table1[[#This Row],[Global_BoxOfficeUSD]]-Table1[[#This Row],[BudgetUSD]]</f>
        <v>164829.08000000007</v>
      </c>
      <c r="S817" s="15">
        <f>Table1[[#This Row],[Profit]]/Table1[[#This Row],[BudgetUSD]]</f>
        <v>8.7181331427205855E-2</v>
      </c>
      <c r="T817" t="str">
        <f>IF(Table1[[#This Row],[ROI]]&gt;100%,"Hit","Flop")</f>
        <v>Flop</v>
      </c>
    </row>
    <row r="818" spans="1:20" x14ac:dyDescent="0.3">
      <c r="A818">
        <v>363</v>
      </c>
      <c r="B818" t="s">
        <v>725</v>
      </c>
      <c r="C818" t="s">
        <v>38</v>
      </c>
      <c r="D818">
        <v>2005</v>
      </c>
      <c r="E818" s="1">
        <v>38656</v>
      </c>
      <c r="F818" t="s">
        <v>23</v>
      </c>
      <c r="G818" s="2">
        <v>2038730.54</v>
      </c>
      <c r="H818" s="2">
        <v>938531.68</v>
      </c>
      <c r="I818" s="2">
        <v>2038730.54</v>
      </c>
      <c r="J818" s="2">
        <v>159796.95000000001</v>
      </c>
      <c r="K818" s="2">
        <v>547250</v>
      </c>
      <c r="L818">
        <v>5.8</v>
      </c>
      <c r="M818">
        <v>50</v>
      </c>
      <c r="N818">
        <v>169</v>
      </c>
      <c r="O818">
        <v>375</v>
      </c>
      <c r="P818" t="s">
        <v>334</v>
      </c>
      <c r="Q818" t="s">
        <v>613</v>
      </c>
      <c r="R818" s="2">
        <f>Table1[[#This Row],[Global_BoxOfficeUSD]]-Table1[[#This Row],[BudgetUSD]]</f>
        <v>0</v>
      </c>
      <c r="S818" s="15">
        <f>Table1[[#This Row],[Profit]]/Table1[[#This Row],[BudgetUSD]]</f>
        <v>0</v>
      </c>
      <c r="T818" t="str">
        <f>IF(Table1[[#This Row],[ROI]]&gt;100%,"Hit","Flop")</f>
        <v>Flop</v>
      </c>
    </row>
    <row r="819" spans="1:20" x14ac:dyDescent="0.3">
      <c r="A819">
        <v>784</v>
      </c>
      <c r="B819" t="s">
        <v>1032</v>
      </c>
      <c r="C819" t="s">
        <v>18</v>
      </c>
      <c r="D819">
        <v>1987</v>
      </c>
      <c r="E819" s="1">
        <v>31843</v>
      </c>
      <c r="F819" t="s">
        <v>139</v>
      </c>
      <c r="G819" s="2">
        <v>548833.64</v>
      </c>
      <c r="H819" s="2">
        <v>1419412.02</v>
      </c>
      <c r="I819" s="2">
        <v>2029463.26</v>
      </c>
      <c r="J819" s="2">
        <v>253794.01</v>
      </c>
      <c r="K819" s="2">
        <v>751785.21</v>
      </c>
      <c r="L819">
        <v>6.9</v>
      </c>
      <c r="M819">
        <v>51</v>
      </c>
      <c r="N819">
        <v>3079</v>
      </c>
      <c r="O819">
        <v>197</v>
      </c>
      <c r="P819" t="s">
        <v>252</v>
      </c>
      <c r="Q819" t="s">
        <v>1093</v>
      </c>
      <c r="R819" s="2">
        <f>Table1[[#This Row],[Global_BoxOfficeUSD]]-Table1[[#This Row],[BudgetUSD]]</f>
        <v>1480629.62</v>
      </c>
      <c r="S819" s="15">
        <f>Table1[[#This Row],[Profit]]/Table1[[#This Row],[BudgetUSD]]</f>
        <v>2.6977749031564464</v>
      </c>
      <c r="T819" t="str">
        <f>IF(Table1[[#This Row],[ROI]]&gt;100%,"Hit","Flop")</f>
        <v>Hit</v>
      </c>
    </row>
    <row r="820" spans="1:20" x14ac:dyDescent="0.3">
      <c r="A820">
        <v>321</v>
      </c>
      <c r="B820" t="s">
        <v>668</v>
      </c>
      <c r="C820" t="s">
        <v>18</v>
      </c>
      <c r="D820">
        <v>2017</v>
      </c>
      <c r="E820" s="1">
        <v>43013</v>
      </c>
      <c r="F820" t="s">
        <v>23</v>
      </c>
      <c r="G820" s="2">
        <v>1953667.99</v>
      </c>
      <c r="H820" s="2">
        <v>1266196.07</v>
      </c>
      <c r="I820" s="2">
        <v>1953667.99</v>
      </c>
      <c r="J820" s="2">
        <v>321208.18</v>
      </c>
      <c r="K820" s="2">
        <v>550045.49</v>
      </c>
      <c r="L820">
        <v>6.7</v>
      </c>
      <c r="M820">
        <v>67</v>
      </c>
      <c r="N820">
        <v>33660</v>
      </c>
      <c r="O820">
        <v>29230</v>
      </c>
      <c r="P820" t="s">
        <v>523</v>
      </c>
      <c r="Q820" t="s">
        <v>141</v>
      </c>
      <c r="R820" s="2">
        <f>Table1[[#This Row],[Global_BoxOfficeUSD]]-Table1[[#This Row],[BudgetUSD]]</f>
        <v>0</v>
      </c>
      <c r="S820" s="15">
        <f>Table1[[#This Row],[Profit]]/Table1[[#This Row],[BudgetUSD]]</f>
        <v>0</v>
      </c>
      <c r="T820" t="str">
        <f>IF(Table1[[#This Row],[ROI]]&gt;100%,"Hit","Flop")</f>
        <v>Flop</v>
      </c>
    </row>
    <row r="821" spans="1:20" x14ac:dyDescent="0.3">
      <c r="A821">
        <v>953</v>
      </c>
      <c r="B821" t="s">
        <v>1362</v>
      </c>
      <c r="C821" t="s">
        <v>77</v>
      </c>
      <c r="D821">
        <v>1992</v>
      </c>
      <c r="E821" s="1">
        <v>33760</v>
      </c>
      <c r="F821" t="s">
        <v>34</v>
      </c>
      <c r="G821" s="2">
        <v>536570.46</v>
      </c>
      <c r="H821" s="2">
        <v>1031424.97</v>
      </c>
      <c r="I821" s="2">
        <v>1925614.68</v>
      </c>
      <c r="J821" s="2">
        <v>281382.46999999997</v>
      </c>
      <c r="K821" s="2">
        <v>421868.36</v>
      </c>
      <c r="L821">
        <v>5.6</v>
      </c>
      <c r="M821">
        <v>42</v>
      </c>
      <c r="N821">
        <v>6455</v>
      </c>
      <c r="O821">
        <v>110</v>
      </c>
      <c r="P821" t="s">
        <v>224</v>
      </c>
      <c r="Q821" t="s">
        <v>253</v>
      </c>
      <c r="R821" s="2">
        <f>Table1[[#This Row],[Global_BoxOfficeUSD]]-Table1[[#This Row],[BudgetUSD]]</f>
        <v>1389044.22</v>
      </c>
      <c r="S821" s="15">
        <f>Table1[[#This Row],[Profit]]/Table1[[#This Row],[BudgetUSD]]</f>
        <v>2.5887452320800515</v>
      </c>
      <c r="T821" t="str">
        <f>IF(Table1[[#This Row],[ROI]]&gt;100%,"Hit","Flop")</f>
        <v>Hit</v>
      </c>
    </row>
    <row r="822" spans="1:20" x14ac:dyDescent="0.3">
      <c r="A822">
        <v>397</v>
      </c>
      <c r="B822" t="s">
        <v>771</v>
      </c>
      <c r="C822" t="s">
        <v>45</v>
      </c>
      <c r="D822">
        <v>1994</v>
      </c>
      <c r="E822" s="1">
        <v>34631</v>
      </c>
      <c r="F822" t="s">
        <v>23</v>
      </c>
      <c r="G822" s="2">
        <v>1577225.91</v>
      </c>
      <c r="H822" s="2">
        <v>1042865.18</v>
      </c>
      <c r="I822" s="2">
        <v>1912034.19</v>
      </c>
      <c r="J822" s="2">
        <v>174552.2</v>
      </c>
      <c r="K822" s="2">
        <v>554596.49</v>
      </c>
      <c r="L822">
        <v>7.4</v>
      </c>
      <c r="M822">
        <v>90</v>
      </c>
      <c r="N822">
        <v>13118</v>
      </c>
      <c r="O822">
        <v>659</v>
      </c>
      <c r="P822" t="s">
        <v>344</v>
      </c>
      <c r="Q822" t="s">
        <v>288</v>
      </c>
      <c r="R822" s="2">
        <f>Table1[[#This Row],[Global_BoxOfficeUSD]]-Table1[[#This Row],[BudgetUSD]]</f>
        <v>334808.28000000003</v>
      </c>
      <c r="S822" s="15">
        <f>Table1[[#This Row],[Profit]]/Table1[[#This Row],[BudgetUSD]]</f>
        <v>0.21227668013645556</v>
      </c>
      <c r="T822" t="str">
        <f>IF(Table1[[#This Row],[ROI]]&gt;100%,"Hit","Flop")</f>
        <v>Flop</v>
      </c>
    </row>
    <row r="823" spans="1:20" x14ac:dyDescent="0.3">
      <c r="A823">
        <v>651</v>
      </c>
      <c r="B823" t="s">
        <v>1071</v>
      </c>
      <c r="C823" t="s">
        <v>86</v>
      </c>
      <c r="D823">
        <v>1987</v>
      </c>
      <c r="E823" s="1">
        <v>31956</v>
      </c>
      <c r="F823" t="s">
        <v>642</v>
      </c>
      <c r="G823" s="2">
        <v>1861141.75</v>
      </c>
      <c r="H823" s="2">
        <v>1094610.3899999999</v>
      </c>
      <c r="I823" s="2">
        <v>1861141.75</v>
      </c>
      <c r="J823" s="2">
        <v>271083.82</v>
      </c>
      <c r="K823" s="2">
        <v>647660.37</v>
      </c>
      <c r="L823">
        <v>6.4</v>
      </c>
      <c r="M823">
        <v>60</v>
      </c>
      <c r="N823">
        <v>23609</v>
      </c>
      <c r="O823">
        <v>50</v>
      </c>
      <c r="P823" t="s">
        <v>472</v>
      </c>
      <c r="Q823" t="s">
        <v>130</v>
      </c>
      <c r="R823" s="2">
        <f>Table1[[#This Row],[Global_BoxOfficeUSD]]-Table1[[#This Row],[BudgetUSD]]</f>
        <v>0</v>
      </c>
      <c r="S823" s="15">
        <f>Table1[[#This Row],[Profit]]/Table1[[#This Row],[BudgetUSD]]</f>
        <v>0</v>
      </c>
      <c r="T823" t="str">
        <f>IF(Table1[[#This Row],[ROI]]&gt;100%,"Hit","Flop")</f>
        <v>Flop</v>
      </c>
    </row>
    <row r="824" spans="1:20" x14ac:dyDescent="0.3">
      <c r="A824">
        <v>525</v>
      </c>
      <c r="B824" t="s">
        <v>932</v>
      </c>
      <c r="C824" t="s">
        <v>86</v>
      </c>
      <c r="D824">
        <v>1988</v>
      </c>
      <c r="E824" s="1">
        <v>32312</v>
      </c>
      <c r="F824" t="s">
        <v>23</v>
      </c>
      <c r="G824" s="2">
        <v>430638.36</v>
      </c>
      <c r="H824" s="2">
        <v>1147590.04</v>
      </c>
      <c r="I824" s="2">
        <v>1825093.3</v>
      </c>
      <c r="J824" s="2">
        <v>225828.43</v>
      </c>
      <c r="K824" s="2">
        <v>525312.49</v>
      </c>
      <c r="L824">
        <v>8.6</v>
      </c>
      <c r="M824">
        <v>76</v>
      </c>
      <c r="N824">
        <v>5574</v>
      </c>
      <c r="O824">
        <v>12915</v>
      </c>
      <c r="P824" t="s">
        <v>421</v>
      </c>
      <c r="Q824" t="s">
        <v>671</v>
      </c>
      <c r="R824" s="2">
        <f>Table1[[#This Row],[Global_BoxOfficeUSD]]-Table1[[#This Row],[BudgetUSD]]</f>
        <v>1394454.94</v>
      </c>
      <c r="S824" s="15">
        <f>Table1[[#This Row],[Profit]]/Table1[[#This Row],[BudgetUSD]]</f>
        <v>3.2381113006282116</v>
      </c>
      <c r="T824" t="str">
        <f>IF(Table1[[#This Row],[ROI]]&gt;100%,"Hit","Flop")</f>
        <v>Hit</v>
      </c>
    </row>
    <row r="825" spans="1:20" x14ac:dyDescent="0.3">
      <c r="A825">
        <v>173</v>
      </c>
      <c r="B825" t="s">
        <v>442</v>
      </c>
      <c r="C825" t="s">
        <v>33</v>
      </c>
      <c r="D825">
        <v>1989</v>
      </c>
      <c r="E825" s="1">
        <v>32827</v>
      </c>
      <c r="F825" t="s">
        <v>23</v>
      </c>
      <c r="G825" s="2">
        <v>423135.12</v>
      </c>
      <c r="H825" s="2">
        <v>766137.07</v>
      </c>
      <c r="I825" s="2">
        <v>1819623.6</v>
      </c>
      <c r="J825" s="2">
        <v>205198.01</v>
      </c>
      <c r="K825" s="2">
        <v>388309.63</v>
      </c>
      <c r="L825">
        <v>6.1</v>
      </c>
      <c r="M825">
        <v>55</v>
      </c>
      <c r="N825">
        <v>1897</v>
      </c>
      <c r="O825">
        <v>188</v>
      </c>
      <c r="P825" t="s">
        <v>129</v>
      </c>
      <c r="Q825" t="s">
        <v>443</v>
      </c>
      <c r="R825" s="2">
        <f>Table1[[#This Row],[Global_BoxOfficeUSD]]-Table1[[#This Row],[BudgetUSD]]</f>
        <v>1396488.48</v>
      </c>
      <c r="S825" s="15">
        <f>Table1[[#This Row],[Profit]]/Table1[[#This Row],[BudgetUSD]]</f>
        <v>3.3003369703748535</v>
      </c>
      <c r="T825" t="str">
        <f>IF(Table1[[#This Row],[ROI]]&gt;100%,"Hit","Flop")</f>
        <v>Hit</v>
      </c>
    </row>
    <row r="826" spans="1:20" x14ac:dyDescent="0.3">
      <c r="A826">
        <v>329</v>
      </c>
      <c r="B826" t="s">
        <v>679</v>
      </c>
      <c r="C826" t="s">
        <v>77</v>
      </c>
      <c r="D826">
        <v>1961</v>
      </c>
      <c r="E826" s="1">
        <v>22282</v>
      </c>
      <c r="F826" t="s">
        <v>23</v>
      </c>
      <c r="G826" s="2">
        <v>898838.74</v>
      </c>
      <c r="H826" s="2">
        <v>944538.66</v>
      </c>
      <c r="I826" s="2">
        <v>1813450.78</v>
      </c>
      <c r="J826" s="2">
        <v>150407.76999999999</v>
      </c>
      <c r="K826" s="2">
        <v>555824.44999999995</v>
      </c>
      <c r="L826">
        <v>7.2</v>
      </c>
      <c r="M826">
        <v>64</v>
      </c>
      <c r="N826">
        <v>5540</v>
      </c>
      <c r="O826">
        <v>77</v>
      </c>
      <c r="P826" t="s">
        <v>666</v>
      </c>
      <c r="Q826" t="s">
        <v>391</v>
      </c>
      <c r="R826" s="2">
        <f>Table1[[#This Row],[Global_BoxOfficeUSD]]-Table1[[#This Row],[BudgetUSD]]</f>
        <v>914612.04</v>
      </c>
      <c r="S826" s="15">
        <f>Table1[[#This Row],[Profit]]/Table1[[#This Row],[BudgetUSD]]</f>
        <v>1.0175485315641826</v>
      </c>
      <c r="T826" t="str">
        <f>IF(Table1[[#This Row],[ROI]]&gt;100%,"Hit","Flop")</f>
        <v>Hit</v>
      </c>
    </row>
    <row r="827" spans="1:20" x14ac:dyDescent="0.3">
      <c r="A827">
        <v>469</v>
      </c>
      <c r="B827" t="s">
        <v>863</v>
      </c>
      <c r="C827" t="s">
        <v>45</v>
      </c>
      <c r="D827">
        <v>2016</v>
      </c>
      <c r="E827" s="1">
        <v>42701</v>
      </c>
      <c r="F827" t="s">
        <v>23</v>
      </c>
      <c r="G827" s="2">
        <v>523075.91</v>
      </c>
      <c r="H827" s="2">
        <v>763258.29</v>
      </c>
      <c r="I827" s="2">
        <v>1806125.29</v>
      </c>
      <c r="J827" s="2">
        <v>176991.44</v>
      </c>
      <c r="K827" s="2">
        <v>408797.79</v>
      </c>
      <c r="L827">
        <v>8.4</v>
      </c>
      <c r="M827">
        <v>92</v>
      </c>
      <c r="N827">
        <v>3588</v>
      </c>
      <c r="O827">
        <v>215</v>
      </c>
      <c r="P827" t="s">
        <v>401</v>
      </c>
      <c r="Q827" t="s">
        <v>72</v>
      </c>
      <c r="R827" s="2">
        <f>Table1[[#This Row],[Global_BoxOfficeUSD]]-Table1[[#This Row],[BudgetUSD]]</f>
        <v>1283049.3800000001</v>
      </c>
      <c r="S827" s="15">
        <f>Table1[[#This Row],[Profit]]/Table1[[#This Row],[BudgetUSD]]</f>
        <v>2.4528932712653506</v>
      </c>
      <c r="T827" t="str">
        <f>IF(Table1[[#This Row],[ROI]]&gt;100%,"Hit","Flop")</f>
        <v>Hit</v>
      </c>
    </row>
    <row r="828" spans="1:20" x14ac:dyDescent="0.3">
      <c r="A828">
        <v>870</v>
      </c>
      <c r="B828" t="s">
        <v>1286</v>
      </c>
      <c r="C828" t="s">
        <v>38</v>
      </c>
      <c r="D828">
        <v>1999</v>
      </c>
      <c r="E828" s="1">
        <v>36401</v>
      </c>
      <c r="F828" t="s">
        <v>23</v>
      </c>
      <c r="G828" s="2">
        <v>1495451.21</v>
      </c>
      <c r="H828" s="2">
        <v>1233932.33</v>
      </c>
      <c r="I828" s="2">
        <v>1798780.39</v>
      </c>
      <c r="J828" s="2">
        <v>234016.76</v>
      </c>
      <c r="K828" s="2">
        <v>508599.4</v>
      </c>
      <c r="L828">
        <v>5.8</v>
      </c>
      <c r="M828">
        <v>61</v>
      </c>
      <c r="N828">
        <v>913</v>
      </c>
      <c r="O828">
        <v>424</v>
      </c>
      <c r="P828" t="s">
        <v>80</v>
      </c>
      <c r="Q828" t="s">
        <v>196</v>
      </c>
      <c r="R828" s="2">
        <f>Table1[[#This Row],[Global_BoxOfficeUSD]]-Table1[[#This Row],[BudgetUSD]]</f>
        <v>303329.17999999993</v>
      </c>
      <c r="S828" s="15">
        <f>Table1[[#This Row],[Profit]]/Table1[[#This Row],[BudgetUSD]]</f>
        <v>0.20283455452886354</v>
      </c>
      <c r="T828" t="str">
        <f>IF(Table1[[#This Row],[ROI]]&gt;100%,"Hit","Flop")</f>
        <v>Flop</v>
      </c>
    </row>
    <row r="829" spans="1:20" x14ac:dyDescent="0.3">
      <c r="A829">
        <v>710</v>
      </c>
      <c r="B829" t="s">
        <v>1129</v>
      </c>
      <c r="C829" t="s">
        <v>67</v>
      </c>
      <c r="D829">
        <v>2012</v>
      </c>
      <c r="E829" s="1">
        <v>40987</v>
      </c>
      <c r="F829" t="s">
        <v>34</v>
      </c>
      <c r="G829" s="2">
        <v>486208.91</v>
      </c>
      <c r="H829" s="2">
        <v>762517.7</v>
      </c>
      <c r="I829" s="2">
        <v>1769611.28</v>
      </c>
      <c r="J829" s="2">
        <v>181493.58</v>
      </c>
      <c r="K829" s="2">
        <v>341105.67</v>
      </c>
      <c r="L829">
        <v>7.5</v>
      </c>
      <c r="M829">
        <v>77</v>
      </c>
      <c r="N829">
        <v>83530</v>
      </c>
      <c r="O829">
        <v>3262</v>
      </c>
      <c r="P829" t="s">
        <v>156</v>
      </c>
      <c r="Q829" t="s">
        <v>91</v>
      </c>
      <c r="R829" s="2">
        <f>Table1[[#This Row],[Global_BoxOfficeUSD]]-Table1[[#This Row],[BudgetUSD]]</f>
        <v>1283402.3700000001</v>
      </c>
      <c r="S829" s="15">
        <f>Table1[[#This Row],[Profit]]/Table1[[#This Row],[BudgetUSD]]</f>
        <v>2.6396109647599837</v>
      </c>
      <c r="T829" t="str">
        <f>IF(Table1[[#This Row],[ROI]]&gt;100%,"Hit","Flop")</f>
        <v>Hit</v>
      </c>
    </row>
    <row r="830" spans="1:20" x14ac:dyDescent="0.3">
      <c r="A830">
        <v>461</v>
      </c>
      <c r="B830" t="s">
        <v>853</v>
      </c>
      <c r="C830" t="s">
        <v>45</v>
      </c>
      <c r="D830">
        <v>1975</v>
      </c>
      <c r="E830" s="1">
        <v>27599</v>
      </c>
      <c r="F830" t="s">
        <v>152</v>
      </c>
      <c r="G830" s="2">
        <v>1728902.06</v>
      </c>
      <c r="H830" s="2">
        <v>909928</v>
      </c>
      <c r="I830" s="2">
        <v>1728902.06</v>
      </c>
      <c r="J830" s="2">
        <v>146089.57</v>
      </c>
      <c r="K830" s="2">
        <v>372109.41</v>
      </c>
      <c r="L830">
        <v>3.9</v>
      </c>
      <c r="M830">
        <v>48</v>
      </c>
      <c r="N830">
        <v>2036</v>
      </c>
      <c r="O830">
        <v>935</v>
      </c>
      <c r="P830" t="s">
        <v>277</v>
      </c>
      <c r="Q830" t="s">
        <v>443</v>
      </c>
      <c r="R830" s="2">
        <f>Table1[[#This Row],[Global_BoxOfficeUSD]]-Table1[[#This Row],[BudgetUSD]]</f>
        <v>0</v>
      </c>
      <c r="S830" s="15">
        <f>Table1[[#This Row],[Profit]]/Table1[[#This Row],[BudgetUSD]]</f>
        <v>0</v>
      </c>
      <c r="T830" t="str">
        <f>IF(Table1[[#This Row],[ROI]]&gt;100%,"Hit","Flop")</f>
        <v>Flop</v>
      </c>
    </row>
    <row r="831" spans="1:20" x14ac:dyDescent="0.3">
      <c r="A831">
        <v>514</v>
      </c>
      <c r="B831" t="s">
        <v>923</v>
      </c>
      <c r="C831" t="s">
        <v>67</v>
      </c>
      <c r="D831">
        <v>1998</v>
      </c>
      <c r="E831" s="1">
        <v>35998</v>
      </c>
      <c r="F831" t="s">
        <v>19</v>
      </c>
      <c r="G831" s="2">
        <v>803238.68</v>
      </c>
      <c r="H831" s="2">
        <v>1182594.68</v>
      </c>
      <c r="I831" s="2">
        <v>1725324.48</v>
      </c>
      <c r="J831" s="2">
        <v>216607.37</v>
      </c>
      <c r="K831" s="2">
        <v>518755.42</v>
      </c>
      <c r="L831">
        <v>6.9</v>
      </c>
      <c r="M831">
        <v>63</v>
      </c>
      <c r="N831">
        <v>13700</v>
      </c>
      <c r="O831">
        <v>404</v>
      </c>
      <c r="P831" t="s">
        <v>530</v>
      </c>
      <c r="Q831" t="s">
        <v>570</v>
      </c>
      <c r="R831" s="2">
        <f>Table1[[#This Row],[Global_BoxOfficeUSD]]-Table1[[#This Row],[BudgetUSD]]</f>
        <v>922085.79999999993</v>
      </c>
      <c r="S831" s="15">
        <f>Table1[[#This Row],[Profit]]/Table1[[#This Row],[BudgetUSD]]</f>
        <v>1.1479599065124702</v>
      </c>
      <c r="T831" t="str">
        <f>IF(Table1[[#This Row],[ROI]]&gt;100%,"Hit","Flop")</f>
        <v>Hit</v>
      </c>
    </row>
    <row r="832" spans="1:20" x14ac:dyDescent="0.3">
      <c r="A832">
        <v>61</v>
      </c>
      <c r="B832" t="s">
        <v>197</v>
      </c>
      <c r="C832" t="s">
        <v>38</v>
      </c>
      <c r="D832">
        <v>2009</v>
      </c>
      <c r="E832" s="1">
        <v>40164</v>
      </c>
      <c r="F832" t="s">
        <v>23</v>
      </c>
      <c r="G832" s="2">
        <v>463291.42</v>
      </c>
      <c r="H832" s="2">
        <v>720699.04</v>
      </c>
      <c r="I832" s="2">
        <v>1693997.5</v>
      </c>
      <c r="J832" s="2">
        <v>175751.35</v>
      </c>
      <c r="K832" s="2">
        <v>392873.01</v>
      </c>
      <c r="L832">
        <v>5.2</v>
      </c>
      <c r="M832">
        <v>37</v>
      </c>
      <c r="N832">
        <v>234</v>
      </c>
      <c r="O832">
        <v>2301</v>
      </c>
      <c r="P832" t="s">
        <v>71</v>
      </c>
      <c r="Q832" t="s">
        <v>198</v>
      </c>
      <c r="R832" s="2">
        <f>Table1[[#This Row],[Global_BoxOfficeUSD]]-Table1[[#This Row],[BudgetUSD]]</f>
        <v>1230706.08</v>
      </c>
      <c r="S832" s="15">
        <f>Table1[[#This Row],[Profit]]/Table1[[#This Row],[BudgetUSD]]</f>
        <v>2.6564404754139415</v>
      </c>
      <c r="T832" t="str">
        <f>IF(Table1[[#This Row],[ROI]]&gt;100%,"Hit","Flop")</f>
        <v>Hit</v>
      </c>
    </row>
    <row r="833" spans="1:20" x14ac:dyDescent="0.3">
      <c r="A833">
        <v>937</v>
      </c>
      <c r="B833" t="s">
        <v>1344</v>
      </c>
      <c r="C833" t="s">
        <v>38</v>
      </c>
      <c r="D833">
        <v>1965</v>
      </c>
      <c r="E833" s="1">
        <v>23984</v>
      </c>
      <c r="F833" t="s">
        <v>23</v>
      </c>
      <c r="G833" s="2">
        <v>1686082.36</v>
      </c>
      <c r="H833" s="2">
        <v>1026652.14</v>
      </c>
      <c r="I833" s="2">
        <v>1686082.36</v>
      </c>
      <c r="J833" s="2">
        <v>176416.04</v>
      </c>
      <c r="K833" s="2">
        <v>568748.73</v>
      </c>
      <c r="L833">
        <v>9.1999999999999993</v>
      </c>
      <c r="M833">
        <v>94</v>
      </c>
      <c r="N833">
        <v>3703</v>
      </c>
      <c r="O833">
        <v>84</v>
      </c>
      <c r="P833" t="s">
        <v>42</v>
      </c>
      <c r="Q833" t="s">
        <v>1171</v>
      </c>
      <c r="R833" s="2">
        <f>Table1[[#This Row],[Global_BoxOfficeUSD]]-Table1[[#This Row],[BudgetUSD]]</f>
        <v>0</v>
      </c>
      <c r="S833" s="15">
        <f>Table1[[#This Row],[Profit]]/Table1[[#This Row],[BudgetUSD]]</f>
        <v>0</v>
      </c>
      <c r="T833" t="str">
        <f>IF(Table1[[#This Row],[ROI]]&gt;100%,"Hit","Flop")</f>
        <v>Flop</v>
      </c>
    </row>
    <row r="834" spans="1:20" x14ac:dyDescent="0.3">
      <c r="A834">
        <v>994</v>
      </c>
      <c r="B834" t="s">
        <v>1404</v>
      </c>
      <c r="C834" t="s">
        <v>107</v>
      </c>
      <c r="D834">
        <v>2021</v>
      </c>
      <c r="E834" s="1">
        <v>44445</v>
      </c>
      <c r="F834" t="s">
        <v>23</v>
      </c>
      <c r="G834" s="2">
        <v>423573.91</v>
      </c>
      <c r="H834" s="2">
        <v>672406.4</v>
      </c>
      <c r="I834" s="2">
        <v>1660933.02</v>
      </c>
      <c r="J834" s="2">
        <v>171442.98</v>
      </c>
      <c r="K834" s="2">
        <v>282447.18</v>
      </c>
      <c r="L834">
        <v>5.7</v>
      </c>
      <c r="M834">
        <v>66</v>
      </c>
      <c r="N834">
        <v>7773</v>
      </c>
      <c r="O834">
        <v>689</v>
      </c>
      <c r="P834" t="s">
        <v>237</v>
      </c>
      <c r="Q834" t="s">
        <v>885</v>
      </c>
      <c r="R834" s="2">
        <f>Table1[[#This Row],[Global_BoxOfficeUSD]]-Table1[[#This Row],[BudgetUSD]]</f>
        <v>1237359.1100000001</v>
      </c>
      <c r="S834" s="15">
        <f>Table1[[#This Row],[Profit]]/Table1[[#This Row],[BudgetUSD]]</f>
        <v>2.9212354226444215</v>
      </c>
      <c r="T834" t="str">
        <f>IF(Table1[[#This Row],[ROI]]&gt;100%,"Hit","Flop")</f>
        <v>Hit</v>
      </c>
    </row>
    <row r="835" spans="1:20" x14ac:dyDescent="0.3">
      <c r="A835">
        <v>389</v>
      </c>
      <c r="B835" t="s">
        <v>763</v>
      </c>
      <c r="C835" t="s">
        <v>86</v>
      </c>
      <c r="D835">
        <v>2022</v>
      </c>
      <c r="E835" s="1">
        <v>44720</v>
      </c>
      <c r="F835" t="s">
        <v>318</v>
      </c>
      <c r="G835" s="2">
        <v>364610.13</v>
      </c>
      <c r="H835" s="2">
        <v>831642.26</v>
      </c>
      <c r="I835" s="2">
        <v>1642788.32</v>
      </c>
      <c r="J835" s="2">
        <v>177058.74</v>
      </c>
      <c r="K835" s="2">
        <v>473387.42</v>
      </c>
      <c r="L835">
        <v>6.6</v>
      </c>
      <c r="M835">
        <v>70</v>
      </c>
      <c r="N835">
        <v>4303</v>
      </c>
      <c r="O835">
        <v>427</v>
      </c>
      <c r="P835" t="s">
        <v>167</v>
      </c>
      <c r="Q835" t="s">
        <v>244</v>
      </c>
      <c r="R835" s="2">
        <f>Table1[[#This Row],[Global_BoxOfficeUSD]]-Table1[[#This Row],[BudgetUSD]]</f>
        <v>1278178.19</v>
      </c>
      <c r="S835" s="15">
        <f>Table1[[#This Row],[Profit]]/Table1[[#This Row],[BudgetUSD]]</f>
        <v>3.5056025185038053</v>
      </c>
      <c r="T835" t="str">
        <f>IF(Table1[[#This Row],[ROI]]&gt;100%,"Hit","Flop")</f>
        <v>Hit</v>
      </c>
    </row>
    <row r="836" spans="1:20" x14ac:dyDescent="0.3">
      <c r="A836">
        <v>195</v>
      </c>
      <c r="B836" t="s">
        <v>478</v>
      </c>
      <c r="C836" t="s">
        <v>86</v>
      </c>
      <c r="D836">
        <v>1958</v>
      </c>
      <c r="E836" s="1">
        <v>21219</v>
      </c>
      <c r="F836" t="s">
        <v>23</v>
      </c>
      <c r="G836" s="2">
        <v>482339.28</v>
      </c>
      <c r="H836" s="2">
        <v>825424.66</v>
      </c>
      <c r="I836" s="2">
        <v>1641837.3</v>
      </c>
      <c r="J836" s="2">
        <v>156515.42000000001</v>
      </c>
      <c r="K836" s="2">
        <v>405958.07</v>
      </c>
      <c r="L836">
        <v>5.8</v>
      </c>
      <c r="M836">
        <v>58</v>
      </c>
      <c r="N836">
        <v>452</v>
      </c>
      <c r="O836">
        <v>2242</v>
      </c>
      <c r="P836" t="s">
        <v>479</v>
      </c>
      <c r="Q836" t="s">
        <v>480</v>
      </c>
      <c r="R836" s="2">
        <f>Table1[[#This Row],[Global_BoxOfficeUSD]]-Table1[[#This Row],[BudgetUSD]]</f>
        <v>1159498.02</v>
      </c>
      <c r="S836" s="15">
        <f>Table1[[#This Row],[Profit]]/Table1[[#This Row],[BudgetUSD]]</f>
        <v>2.4039054418292451</v>
      </c>
      <c r="T836" t="str">
        <f>IF(Table1[[#This Row],[ROI]]&gt;100%,"Hit","Flop")</f>
        <v>Hit</v>
      </c>
    </row>
    <row r="837" spans="1:20" x14ac:dyDescent="0.3">
      <c r="A837">
        <v>220</v>
      </c>
      <c r="B837" t="s">
        <v>524</v>
      </c>
      <c r="C837" t="s">
        <v>86</v>
      </c>
      <c r="D837">
        <v>1953</v>
      </c>
      <c r="E837" s="1">
        <v>19693</v>
      </c>
      <c r="F837" t="s">
        <v>23</v>
      </c>
      <c r="G837" s="2">
        <v>354625.63</v>
      </c>
      <c r="H837" s="2">
        <v>1075326.75</v>
      </c>
      <c r="I837" s="2">
        <v>1622787.32</v>
      </c>
      <c r="J837" s="2">
        <v>216675.59</v>
      </c>
      <c r="K837" s="2">
        <v>615770.48</v>
      </c>
      <c r="L837">
        <v>7.9</v>
      </c>
      <c r="M837">
        <v>83</v>
      </c>
      <c r="N837">
        <v>755</v>
      </c>
      <c r="O837">
        <v>95</v>
      </c>
      <c r="P837" t="s">
        <v>362</v>
      </c>
      <c r="Q837" t="s">
        <v>525</v>
      </c>
      <c r="R837" s="2">
        <f>Table1[[#This Row],[Global_BoxOfficeUSD]]-Table1[[#This Row],[BudgetUSD]]</f>
        <v>1268161.69</v>
      </c>
      <c r="S837" s="15">
        <f>Table1[[#This Row],[Profit]]/Table1[[#This Row],[BudgetUSD]]</f>
        <v>3.5760576301267339</v>
      </c>
      <c r="T837" t="str">
        <f>IF(Table1[[#This Row],[ROI]]&gt;100%,"Hit","Flop")</f>
        <v>Hit</v>
      </c>
    </row>
    <row r="838" spans="1:20" x14ac:dyDescent="0.3">
      <c r="A838">
        <v>923</v>
      </c>
      <c r="B838" t="s">
        <v>1331</v>
      </c>
      <c r="C838" t="s">
        <v>77</v>
      </c>
      <c r="D838">
        <v>1989</v>
      </c>
      <c r="E838" s="1">
        <v>32791</v>
      </c>
      <c r="F838" t="s">
        <v>23</v>
      </c>
      <c r="G838" s="2">
        <v>782848.34</v>
      </c>
      <c r="H838" s="2">
        <v>984935</v>
      </c>
      <c r="I838" s="2">
        <v>1595920.02</v>
      </c>
      <c r="J838" s="2">
        <v>179824.63</v>
      </c>
      <c r="K838" s="2">
        <v>567837.46</v>
      </c>
      <c r="L838">
        <v>7.2</v>
      </c>
      <c r="M838">
        <v>75</v>
      </c>
      <c r="N838">
        <v>161</v>
      </c>
      <c r="O838">
        <v>714</v>
      </c>
      <c r="P838" t="s">
        <v>24</v>
      </c>
      <c r="Q838" t="s">
        <v>256</v>
      </c>
      <c r="R838" s="2">
        <f>Table1[[#This Row],[Global_BoxOfficeUSD]]-Table1[[#This Row],[BudgetUSD]]</f>
        <v>813071.68</v>
      </c>
      <c r="S838" s="15">
        <f>Table1[[#This Row],[Profit]]/Table1[[#This Row],[BudgetUSD]]</f>
        <v>1.0386068903205441</v>
      </c>
      <c r="T838" t="str">
        <f>IF(Table1[[#This Row],[ROI]]&gt;100%,"Hit","Flop")</f>
        <v>Hit</v>
      </c>
    </row>
    <row r="839" spans="1:20" x14ac:dyDescent="0.3">
      <c r="A839">
        <v>439</v>
      </c>
      <c r="B839" t="s">
        <v>825</v>
      </c>
      <c r="C839" t="s">
        <v>18</v>
      </c>
      <c r="D839">
        <v>2009</v>
      </c>
      <c r="E839" s="1">
        <v>40102</v>
      </c>
      <c r="F839" t="s">
        <v>23</v>
      </c>
      <c r="G839" s="2">
        <v>420779.93</v>
      </c>
      <c r="H839" s="2">
        <v>905074.16</v>
      </c>
      <c r="I839" s="2">
        <v>1577256.08</v>
      </c>
      <c r="J839" s="2">
        <v>116188.75</v>
      </c>
      <c r="K839" s="2">
        <v>411366.32</v>
      </c>
      <c r="L839">
        <v>5.3</v>
      </c>
      <c r="M839">
        <v>44</v>
      </c>
      <c r="N839">
        <v>7685</v>
      </c>
      <c r="O839">
        <v>50</v>
      </c>
      <c r="P839" t="s">
        <v>129</v>
      </c>
      <c r="Q839" t="s">
        <v>532</v>
      </c>
      <c r="R839" s="2">
        <f>Table1[[#This Row],[Global_BoxOfficeUSD]]-Table1[[#This Row],[BudgetUSD]]</f>
        <v>1156476.1500000001</v>
      </c>
      <c r="S839" s="15">
        <f>Table1[[#This Row],[Profit]]/Table1[[#This Row],[BudgetUSD]]</f>
        <v>2.748410909237045</v>
      </c>
      <c r="T839" t="str">
        <f>IF(Table1[[#This Row],[ROI]]&gt;100%,"Hit","Flop")</f>
        <v>Hit</v>
      </c>
    </row>
    <row r="840" spans="1:20" x14ac:dyDescent="0.3">
      <c r="A840">
        <v>759</v>
      </c>
      <c r="B840" t="s">
        <v>1180</v>
      </c>
      <c r="C840" t="s">
        <v>67</v>
      </c>
      <c r="D840">
        <v>2015</v>
      </c>
      <c r="E840" s="1">
        <v>42158</v>
      </c>
      <c r="F840" t="s">
        <v>23</v>
      </c>
      <c r="G840" s="2">
        <v>532306.19999999995</v>
      </c>
      <c r="H840" s="2">
        <v>808240.34</v>
      </c>
      <c r="I840" s="2">
        <v>1575952.7</v>
      </c>
      <c r="J840" s="2">
        <v>140325.34</v>
      </c>
      <c r="K840" s="2">
        <v>390991.18</v>
      </c>
      <c r="L840">
        <v>5.7</v>
      </c>
      <c r="M840">
        <v>47</v>
      </c>
      <c r="N840">
        <v>4832</v>
      </c>
      <c r="O840">
        <v>893</v>
      </c>
      <c r="P840" t="s">
        <v>368</v>
      </c>
      <c r="Q840" t="s">
        <v>1112</v>
      </c>
      <c r="R840" s="2">
        <f>Table1[[#This Row],[Global_BoxOfficeUSD]]-Table1[[#This Row],[BudgetUSD]]</f>
        <v>1043646.5</v>
      </c>
      <c r="S840" s="15">
        <f>Table1[[#This Row],[Profit]]/Table1[[#This Row],[BudgetUSD]]</f>
        <v>1.9606130832216497</v>
      </c>
      <c r="T840" t="str">
        <f>IF(Table1[[#This Row],[ROI]]&gt;100%,"Hit","Flop")</f>
        <v>Hit</v>
      </c>
    </row>
    <row r="841" spans="1:20" x14ac:dyDescent="0.3">
      <c r="A841">
        <v>427</v>
      </c>
      <c r="B841" t="s">
        <v>812</v>
      </c>
      <c r="C841" t="s">
        <v>38</v>
      </c>
      <c r="D841">
        <v>2023</v>
      </c>
      <c r="E841" s="1">
        <v>44965</v>
      </c>
      <c r="F841" t="s">
        <v>23</v>
      </c>
      <c r="G841" s="2">
        <v>1450661.91</v>
      </c>
      <c r="H841" s="2">
        <v>765388.61</v>
      </c>
      <c r="I841" s="2">
        <v>1560425.66</v>
      </c>
      <c r="J841" s="2">
        <v>120457.9</v>
      </c>
      <c r="K841" s="2">
        <v>458702.1</v>
      </c>
      <c r="L841">
        <v>6.9</v>
      </c>
      <c r="M841">
        <v>85</v>
      </c>
      <c r="N841">
        <v>2110</v>
      </c>
      <c r="O841">
        <v>340</v>
      </c>
      <c r="P841" t="s">
        <v>74</v>
      </c>
      <c r="Q841" t="s">
        <v>100</v>
      </c>
      <c r="R841" s="2">
        <f>Table1[[#This Row],[Global_BoxOfficeUSD]]-Table1[[#This Row],[BudgetUSD]]</f>
        <v>109763.75</v>
      </c>
      <c r="S841" s="15">
        <f>Table1[[#This Row],[Profit]]/Table1[[#This Row],[BudgetUSD]]</f>
        <v>7.5664597824864649E-2</v>
      </c>
      <c r="T841" t="str">
        <f>IF(Table1[[#This Row],[ROI]]&gt;100%,"Hit","Flop")</f>
        <v>Flop</v>
      </c>
    </row>
    <row r="842" spans="1:20" x14ac:dyDescent="0.3">
      <c r="A842">
        <v>614</v>
      </c>
      <c r="B842" t="s">
        <v>1033</v>
      </c>
      <c r="C842" t="s">
        <v>18</v>
      </c>
      <c r="D842">
        <v>1999</v>
      </c>
      <c r="E842" s="1">
        <v>36233</v>
      </c>
      <c r="F842" t="s">
        <v>23</v>
      </c>
      <c r="G842" s="2">
        <v>1434400.15</v>
      </c>
      <c r="H842" s="2">
        <v>849320.68</v>
      </c>
      <c r="I842" s="2">
        <v>1554187.06</v>
      </c>
      <c r="J842" s="2">
        <v>215794.1</v>
      </c>
      <c r="K842" s="2">
        <v>406793.77</v>
      </c>
      <c r="L842">
        <v>6.2</v>
      </c>
      <c r="M842">
        <v>59</v>
      </c>
      <c r="N842">
        <v>2734</v>
      </c>
      <c r="O842">
        <v>231</v>
      </c>
      <c r="P842" t="s">
        <v>865</v>
      </c>
      <c r="Q842" t="s">
        <v>895</v>
      </c>
      <c r="R842" s="2">
        <f>Table1[[#This Row],[Global_BoxOfficeUSD]]-Table1[[#This Row],[BudgetUSD]]</f>
        <v>119786.91000000015</v>
      </c>
      <c r="S842" s="15">
        <f>Table1[[#This Row],[Profit]]/Table1[[#This Row],[BudgetUSD]]</f>
        <v>8.3510106994899691E-2</v>
      </c>
      <c r="T842" t="str">
        <f>IF(Table1[[#This Row],[ROI]]&gt;100%,"Hit","Flop")</f>
        <v>Flop</v>
      </c>
    </row>
    <row r="843" spans="1:20" x14ac:dyDescent="0.3">
      <c r="A843">
        <v>496</v>
      </c>
      <c r="B843" t="s">
        <v>899</v>
      </c>
      <c r="C843" t="s">
        <v>77</v>
      </c>
      <c r="D843">
        <v>2014</v>
      </c>
      <c r="E843" s="1">
        <v>41931</v>
      </c>
      <c r="F843" t="s">
        <v>23</v>
      </c>
      <c r="G843" s="2">
        <v>1147160.28</v>
      </c>
      <c r="H843" s="2">
        <v>911586.89</v>
      </c>
      <c r="I843" s="2">
        <v>1545776.32</v>
      </c>
      <c r="J843" s="2">
        <v>246202.66</v>
      </c>
      <c r="K843" s="2">
        <v>400424.21</v>
      </c>
      <c r="L843">
        <v>7.5</v>
      </c>
      <c r="M843">
        <v>83</v>
      </c>
      <c r="N843">
        <v>1294</v>
      </c>
      <c r="O843">
        <v>66</v>
      </c>
      <c r="P843" t="s">
        <v>494</v>
      </c>
      <c r="Q843" t="s">
        <v>72</v>
      </c>
      <c r="R843" s="2">
        <f>Table1[[#This Row],[Global_BoxOfficeUSD]]-Table1[[#This Row],[BudgetUSD]]</f>
        <v>398616.04000000004</v>
      </c>
      <c r="S843" s="15">
        <f>Table1[[#This Row],[Profit]]/Table1[[#This Row],[BudgetUSD]]</f>
        <v>0.34748068508787633</v>
      </c>
      <c r="T843" t="str">
        <f>IF(Table1[[#This Row],[ROI]]&gt;100%,"Hit","Flop")</f>
        <v>Flop</v>
      </c>
    </row>
    <row r="844" spans="1:20" x14ac:dyDescent="0.3">
      <c r="A844">
        <v>221</v>
      </c>
      <c r="B844" t="s">
        <v>526</v>
      </c>
      <c r="C844" t="s">
        <v>77</v>
      </c>
      <c r="D844">
        <v>1975</v>
      </c>
      <c r="E844" s="1">
        <v>27576</v>
      </c>
      <c r="F844" t="s">
        <v>23</v>
      </c>
      <c r="G844" s="2">
        <v>346398.07</v>
      </c>
      <c r="H844" s="2">
        <v>783436.62</v>
      </c>
      <c r="I844" s="2">
        <v>1542531.2</v>
      </c>
      <c r="J844" s="2">
        <v>229326.46</v>
      </c>
      <c r="K844" s="2">
        <v>371000.1</v>
      </c>
      <c r="L844">
        <v>4.7</v>
      </c>
      <c r="M844">
        <v>46</v>
      </c>
      <c r="N844">
        <v>1760</v>
      </c>
      <c r="O844">
        <v>127</v>
      </c>
      <c r="P844" t="s">
        <v>114</v>
      </c>
      <c r="Q844" t="s">
        <v>53</v>
      </c>
      <c r="R844" s="2">
        <f>Table1[[#This Row],[Global_BoxOfficeUSD]]-Table1[[#This Row],[BudgetUSD]]</f>
        <v>1196133.1299999999</v>
      </c>
      <c r="S844" s="15">
        <f>Table1[[#This Row],[Profit]]/Table1[[#This Row],[BudgetUSD]]</f>
        <v>3.4530594526695828</v>
      </c>
      <c r="T844" t="str">
        <f>IF(Table1[[#This Row],[ROI]]&gt;100%,"Hit","Flop")</f>
        <v>Hit</v>
      </c>
    </row>
    <row r="845" spans="1:20" x14ac:dyDescent="0.3">
      <c r="A845">
        <v>662</v>
      </c>
      <c r="B845" t="s">
        <v>1083</v>
      </c>
      <c r="C845" t="s">
        <v>86</v>
      </c>
      <c r="D845">
        <v>1993</v>
      </c>
      <c r="E845" s="1">
        <v>34216</v>
      </c>
      <c r="F845" t="s">
        <v>34</v>
      </c>
      <c r="G845" s="2">
        <v>1510670.89</v>
      </c>
      <c r="H845" s="2">
        <v>877276.63</v>
      </c>
      <c r="I845" s="2">
        <v>1510670.89</v>
      </c>
      <c r="J845" s="2">
        <v>88784.46</v>
      </c>
      <c r="K845" s="2">
        <v>381493.59</v>
      </c>
      <c r="L845">
        <v>6.5</v>
      </c>
      <c r="M845">
        <v>64</v>
      </c>
      <c r="N845">
        <v>4882</v>
      </c>
      <c r="O845">
        <v>73</v>
      </c>
      <c r="P845" t="s">
        <v>799</v>
      </c>
      <c r="Q845" t="s">
        <v>180</v>
      </c>
      <c r="R845" s="2">
        <f>Table1[[#This Row],[Global_BoxOfficeUSD]]-Table1[[#This Row],[BudgetUSD]]</f>
        <v>0</v>
      </c>
      <c r="S845" s="15">
        <f>Table1[[#This Row],[Profit]]/Table1[[#This Row],[BudgetUSD]]</f>
        <v>0</v>
      </c>
      <c r="T845" t="str">
        <f>IF(Table1[[#This Row],[ROI]]&gt;100%,"Hit","Flop")</f>
        <v>Flop</v>
      </c>
    </row>
    <row r="846" spans="1:20" x14ac:dyDescent="0.3">
      <c r="A846">
        <v>522</v>
      </c>
      <c r="B846" t="s">
        <v>929</v>
      </c>
      <c r="C846" t="s">
        <v>86</v>
      </c>
      <c r="D846">
        <v>1985</v>
      </c>
      <c r="E846" s="1">
        <v>31131</v>
      </c>
      <c r="F846" t="s">
        <v>23</v>
      </c>
      <c r="G846" s="2">
        <v>350432.27</v>
      </c>
      <c r="H846" s="2">
        <v>922821.76</v>
      </c>
      <c r="I846" s="2">
        <v>1503234.36</v>
      </c>
      <c r="J846" s="2">
        <v>250604.75</v>
      </c>
      <c r="K846" s="2">
        <v>451919.64</v>
      </c>
      <c r="L846">
        <v>8.6</v>
      </c>
      <c r="M846">
        <v>83</v>
      </c>
      <c r="N846">
        <v>956</v>
      </c>
      <c r="O846">
        <v>1717</v>
      </c>
      <c r="P846" t="s">
        <v>260</v>
      </c>
      <c r="Q846" t="s">
        <v>303</v>
      </c>
      <c r="R846" s="2">
        <f>Table1[[#This Row],[Global_BoxOfficeUSD]]-Table1[[#This Row],[BudgetUSD]]</f>
        <v>1152802.0900000001</v>
      </c>
      <c r="S846" s="15">
        <f>Table1[[#This Row],[Profit]]/Table1[[#This Row],[BudgetUSD]]</f>
        <v>3.289657342344642</v>
      </c>
      <c r="T846" t="str">
        <f>IF(Table1[[#This Row],[ROI]]&gt;100%,"Hit","Flop")</f>
        <v>Hit</v>
      </c>
    </row>
    <row r="847" spans="1:20" x14ac:dyDescent="0.3">
      <c r="A847">
        <v>833</v>
      </c>
      <c r="B847" t="s">
        <v>1251</v>
      </c>
      <c r="C847" t="s">
        <v>67</v>
      </c>
      <c r="D847">
        <v>2007</v>
      </c>
      <c r="E847" s="1">
        <v>39106</v>
      </c>
      <c r="F847" t="s">
        <v>23</v>
      </c>
      <c r="G847" s="2">
        <v>1482482.3</v>
      </c>
      <c r="H847" s="2">
        <v>929305.15</v>
      </c>
      <c r="I847" s="2">
        <v>1482482.3</v>
      </c>
      <c r="J847" s="2">
        <v>119660.45</v>
      </c>
      <c r="K847" s="2">
        <v>554273.52</v>
      </c>
      <c r="L847">
        <v>8.1</v>
      </c>
      <c r="M847">
        <v>76</v>
      </c>
      <c r="N847">
        <v>3256</v>
      </c>
      <c r="O847">
        <v>1396</v>
      </c>
      <c r="P847" t="s">
        <v>552</v>
      </c>
      <c r="Q847" t="s">
        <v>512</v>
      </c>
      <c r="R847" s="2">
        <f>Table1[[#This Row],[Global_BoxOfficeUSD]]-Table1[[#This Row],[BudgetUSD]]</f>
        <v>0</v>
      </c>
      <c r="S847" s="15">
        <f>Table1[[#This Row],[Profit]]/Table1[[#This Row],[BudgetUSD]]</f>
        <v>0</v>
      </c>
      <c r="T847" t="str">
        <f>IF(Table1[[#This Row],[ROI]]&gt;100%,"Hit","Flop")</f>
        <v>Flop</v>
      </c>
    </row>
    <row r="848" spans="1:20" x14ac:dyDescent="0.3">
      <c r="A848">
        <v>509</v>
      </c>
      <c r="B848" t="s">
        <v>918</v>
      </c>
      <c r="C848" t="s">
        <v>18</v>
      </c>
      <c r="D848">
        <v>2007</v>
      </c>
      <c r="E848" s="1">
        <v>39368</v>
      </c>
      <c r="F848" t="s">
        <v>23</v>
      </c>
      <c r="G848" s="2">
        <v>868074.02</v>
      </c>
      <c r="H848" s="2">
        <v>956210.77</v>
      </c>
      <c r="I848" s="2">
        <v>1466388.86</v>
      </c>
      <c r="J848" s="2">
        <v>105438.6</v>
      </c>
      <c r="K848" s="2">
        <v>400709.16</v>
      </c>
      <c r="L848">
        <v>6.8</v>
      </c>
      <c r="M848">
        <v>63</v>
      </c>
      <c r="N848">
        <v>2983</v>
      </c>
      <c r="O848">
        <v>123</v>
      </c>
      <c r="P848" t="s">
        <v>356</v>
      </c>
      <c r="Q848" t="s">
        <v>671</v>
      </c>
      <c r="R848" s="2">
        <f>Table1[[#This Row],[Global_BoxOfficeUSD]]-Table1[[#This Row],[BudgetUSD]]</f>
        <v>598314.84000000008</v>
      </c>
      <c r="S848" s="15">
        <f>Table1[[#This Row],[Profit]]/Table1[[#This Row],[BudgetUSD]]</f>
        <v>0.68924403474256735</v>
      </c>
      <c r="T848" t="str">
        <f>IF(Table1[[#This Row],[ROI]]&gt;100%,"Hit","Flop")</f>
        <v>Flop</v>
      </c>
    </row>
    <row r="849" spans="1:20" x14ac:dyDescent="0.3">
      <c r="A849">
        <v>924</v>
      </c>
      <c r="B849" t="s">
        <v>1332</v>
      </c>
      <c r="C849" t="s">
        <v>18</v>
      </c>
      <c r="D849">
        <v>1980</v>
      </c>
      <c r="E849" s="1">
        <v>29378</v>
      </c>
      <c r="F849" t="s">
        <v>249</v>
      </c>
      <c r="G849" s="2">
        <v>1461781.61</v>
      </c>
      <c r="H849" s="2">
        <v>633126.15</v>
      </c>
      <c r="I849" s="2">
        <v>1461781.61</v>
      </c>
      <c r="J849" s="2">
        <v>168750.87</v>
      </c>
      <c r="K849" s="2">
        <v>329651.99</v>
      </c>
      <c r="L849">
        <v>7.1</v>
      </c>
      <c r="M849">
        <v>84</v>
      </c>
      <c r="N849">
        <v>128067</v>
      </c>
      <c r="O849">
        <v>127</v>
      </c>
      <c r="P849" t="s">
        <v>703</v>
      </c>
      <c r="Q849" t="s">
        <v>431</v>
      </c>
      <c r="R849" s="2">
        <f>Table1[[#This Row],[Global_BoxOfficeUSD]]-Table1[[#This Row],[BudgetUSD]]</f>
        <v>0</v>
      </c>
      <c r="S849" s="15">
        <f>Table1[[#This Row],[Profit]]/Table1[[#This Row],[BudgetUSD]]</f>
        <v>0</v>
      </c>
      <c r="T849" t="str">
        <f>IF(Table1[[#This Row],[ROI]]&gt;100%,"Hit","Flop")</f>
        <v>Flop</v>
      </c>
    </row>
    <row r="850" spans="1:20" x14ac:dyDescent="0.3">
      <c r="A850">
        <v>622</v>
      </c>
      <c r="B850" t="s">
        <v>1040</v>
      </c>
      <c r="C850" t="s">
        <v>33</v>
      </c>
      <c r="D850">
        <v>2020</v>
      </c>
      <c r="E850" s="1">
        <v>44163</v>
      </c>
      <c r="F850" t="s">
        <v>23</v>
      </c>
      <c r="G850" s="2">
        <v>1422874.73</v>
      </c>
      <c r="H850" s="2">
        <v>622403.38</v>
      </c>
      <c r="I850" s="2">
        <v>1422874.73</v>
      </c>
      <c r="J850" s="2">
        <v>89465.11</v>
      </c>
      <c r="K850" s="2">
        <v>309409.91999999998</v>
      </c>
      <c r="L850">
        <v>5.4</v>
      </c>
      <c r="M850">
        <v>54</v>
      </c>
      <c r="N850">
        <v>9678</v>
      </c>
      <c r="O850">
        <v>144</v>
      </c>
      <c r="P850" t="s">
        <v>49</v>
      </c>
      <c r="Q850" t="s">
        <v>364</v>
      </c>
      <c r="R850" s="2">
        <f>Table1[[#This Row],[Global_BoxOfficeUSD]]-Table1[[#This Row],[BudgetUSD]]</f>
        <v>0</v>
      </c>
      <c r="S850" s="15">
        <f>Table1[[#This Row],[Profit]]/Table1[[#This Row],[BudgetUSD]]</f>
        <v>0</v>
      </c>
      <c r="T850" t="str">
        <f>IF(Table1[[#This Row],[ROI]]&gt;100%,"Hit","Flop")</f>
        <v>Flop</v>
      </c>
    </row>
    <row r="851" spans="1:20" x14ac:dyDescent="0.3">
      <c r="A851">
        <v>455</v>
      </c>
      <c r="B851" t="s">
        <v>847</v>
      </c>
      <c r="C851" t="s">
        <v>38</v>
      </c>
      <c r="D851">
        <v>2012</v>
      </c>
      <c r="E851" s="1">
        <v>40934</v>
      </c>
      <c r="F851" t="s">
        <v>34</v>
      </c>
      <c r="G851" s="2">
        <v>352633.69</v>
      </c>
      <c r="H851" s="2">
        <v>625168.4</v>
      </c>
      <c r="I851" s="2">
        <v>1415528.56</v>
      </c>
      <c r="J851" s="2">
        <v>163202.70000000001</v>
      </c>
      <c r="K851" s="2">
        <v>352969.7</v>
      </c>
      <c r="L851">
        <v>4.8</v>
      </c>
      <c r="M851">
        <v>54</v>
      </c>
      <c r="N851">
        <v>2237</v>
      </c>
      <c r="O851">
        <v>3074</v>
      </c>
      <c r="P851" t="s">
        <v>208</v>
      </c>
      <c r="Q851" t="s">
        <v>569</v>
      </c>
      <c r="R851" s="2">
        <f>Table1[[#This Row],[Global_BoxOfficeUSD]]-Table1[[#This Row],[BudgetUSD]]</f>
        <v>1062894.8700000001</v>
      </c>
      <c r="S851" s="15">
        <f>Table1[[#This Row],[Profit]]/Table1[[#This Row],[BudgetUSD]]</f>
        <v>3.0141614376096628</v>
      </c>
      <c r="T851" t="str">
        <f>IF(Table1[[#This Row],[ROI]]&gt;100%,"Hit","Flop")</f>
        <v>Hit</v>
      </c>
    </row>
    <row r="852" spans="1:20" x14ac:dyDescent="0.3">
      <c r="A852">
        <v>846</v>
      </c>
      <c r="B852" t="s">
        <v>1264</v>
      </c>
      <c r="C852" t="s">
        <v>38</v>
      </c>
      <c r="D852">
        <v>2012</v>
      </c>
      <c r="E852" s="1">
        <v>41190</v>
      </c>
      <c r="F852" t="s">
        <v>318</v>
      </c>
      <c r="G852" s="2">
        <v>1010063.24</v>
      </c>
      <c r="H852" s="2">
        <v>640306.93999999994</v>
      </c>
      <c r="I852" s="2">
        <v>1412759.45</v>
      </c>
      <c r="J852" s="2">
        <v>73614.66</v>
      </c>
      <c r="K852" s="2">
        <v>267123.32</v>
      </c>
      <c r="L852">
        <v>4.8</v>
      </c>
      <c r="M852">
        <v>51</v>
      </c>
      <c r="N852">
        <v>14013</v>
      </c>
      <c r="O852">
        <v>130</v>
      </c>
      <c r="P852" t="s">
        <v>108</v>
      </c>
      <c r="Q852" t="s">
        <v>308</v>
      </c>
      <c r="R852" s="2">
        <f>Table1[[#This Row],[Global_BoxOfficeUSD]]-Table1[[#This Row],[BudgetUSD]]</f>
        <v>402696.20999999996</v>
      </c>
      <c r="S852" s="15">
        <f>Table1[[#This Row],[Profit]]/Table1[[#This Row],[BudgetUSD]]</f>
        <v>0.39868415565742199</v>
      </c>
      <c r="T852" t="str">
        <f>IF(Table1[[#This Row],[ROI]]&gt;100%,"Hit","Flop")</f>
        <v>Flop</v>
      </c>
    </row>
    <row r="853" spans="1:20" x14ac:dyDescent="0.3">
      <c r="A853">
        <v>793</v>
      </c>
      <c r="B853" t="s">
        <v>1213</v>
      </c>
      <c r="C853" t="s">
        <v>77</v>
      </c>
      <c r="D853">
        <v>1993</v>
      </c>
      <c r="E853" s="1">
        <v>34329</v>
      </c>
      <c r="F853" t="s">
        <v>23</v>
      </c>
      <c r="G853" s="2">
        <v>554273.68999999994</v>
      </c>
      <c r="H853" s="2">
        <v>925060.11</v>
      </c>
      <c r="I853" s="2">
        <v>1402866.29</v>
      </c>
      <c r="J853" s="2">
        <v>136595.47</v>
      </c>
      <c r="K853" s="2">
        <v>550826.11</v>
      </c>
      <c r="L853">
        <v>6.4</v>
      </c>
      <c r="M853">
        <v>79</v>
      </c>
      <c r="N853">
        <v>1528</v>
      </c>
      <c r="O853">
        <v>5937</v>
      </c>
      <c r="P853" t="s">
        <v>351</v>
      </c>
      <c r="Q853" t="s">
        <v>1155</v>
      </c>
      <c r="R853" s="2">
        <f>Table1[[#This Row],[Global_BoxOfficeUSD]]-Table1[[#This Row],[BudgetUSD]]</f>
        <v>848592.60000000009</v>
      </c>
      <c r="S853" s="15">
        <f>Table1[[#This Row],[Profit]]/Table1[[#This Row],[BudgetUSD]]</f>
        <v>1.5309992433521429</v>
      </c>
      <c r="T853" t="str">
        <f>IF(Table1[[#This Row],[ROI]]&gt;100%,"Hit","Flop")</f>
        <v>Hit</v>
      </c>
    </row>
    <row r="854" spans="1:20" x14ac:dyDescent="0.3">
      <c r="A854">
        <v>677</v>
      </c>
      <c r="B854" t="s">
        <v>1095</v>
      </c>
      <c r="C854" t="s">
        <v>45</v>
      </c>
      <c r="D854">
        <v>2010</v>
      </c>
      <c r="E854" s="1">
        <v>40199</v>
      </c>
      <c r="F854" t="s">
        <v>23</v>
      </c>
      <c r="G854" s="2">
        <v>448945.36</v>
      </c>
      <c r="H854" s="2">
        <v>865152.64</v>
      </c>
      <c r="I854" s="2">
        <v>1378461.63</v>
      </c>
      <c r="J854" s="2">
        <v>243082.85</v>
      </c>
      <c r="K854" s="2">
        <v>353223.04</v>
      </c>
      <c r="L854">
        <v>7</v>
      </c>
      <c r="M854">
        <v>63</v>
      </c>
      <c r="N854">
        <v>27807</v>
      </c>
      <c r="O854">
        <v>375</v>
      </c>
      <c r="P854" t="s">
        <v>39</v>
      </c>
      <c r="Q854" t="s">
        <v>282</v>
      </c>
      <c r="R854" s="2">
        <f>Table1[[#This Row],[Global_BoxOfficeUSD]]-Table1[[#This Row],[BudgetUSD]]</f>
        <v>929516.2699999999</v>
      </c>
      <c r="S854" s="15">
        <f>Table1[[#This Row],[Profit]]/Table1[[#This Row],[BudgetUSD]]</f>
        <v>2.0704440959140329</v>
      </c>
      <c r="T854" t="str">
        <f>IF(Table1[[#This Row],[ROI]]&gt;100%,"Hit","Flop")</f>
        <v>Hit</v>
      </c>
    </row>
    <row r="855" spans="1:20" x14ac:dyDescent="0.3">
      <c r="A855">
        <v>172</v>
      </c>
      <c r="B855" t="s">
        <v>440</v>
      </c>
      <c r="C855" t="s">
        <v>45</v>
      </c>
      <c r="D855">
        <v>2017</v>
      </c>
      <c r="E855" s="1">
        <v>42802</v>
      </c>
      <c r="F855" t="s">
        <v>23</v>
      </c>
      <c r="G855" s="2">
        <v>564685.05000000005</v>
      </c>
      <c r="H855" s="2">
        <v>622779.43000000005</v>
      </c>
      <c r="I855" s="2">
        <v>1371854.56</v>
      </c>
      <c r="J855" s="2">
        <v>83601.02</v>
      </c>
      <c r="K855" s="2">
        <v>357314.1</v>
      </c>
      <c r="L855">
        <v>6.9</v>
      </c>
      <c r="M855">
        <v>78</v>
      </c>
      <c r="N855">
        <v>763</v>
      </c>
      <c r="O855">
        <v>82</v>
      </c>
      <c r="P855" t="s">
        <v>441</v>
      </c>
      <c r="Q855" t="s">
        <v>387</v>
      </c>
      <c r="R855" s="2">
        <f>Table1[[#This Row],[Global_BoxOfficeUSD]]-Table1[[#This Row],[BudgetUSD]]</f>
        <v>807169.51</v>
      </c>
      <c r="S855" s="15">
        <f>Table1[[#This Row],[Profit]]/Table1[[#This Row],[BudgetUSD]]</f>
        <v>1.4294154059860447</v>
      </c>
      <c r="T855" t="str">
        <f>IF(Table1[[#This Row],[ROI]]&gt;100%,"Hit","Flop")</f>
        <v>Hit</v>
      </c>
    </row>
    <row r="856" spans="1:20" x14ac:dyDescent="0.3">
      <c r="A856">
        <v>383</v>
      </c>
      <c r="B856" t="s">
        <v>755</v>
      </c>
      <c r="C856" t="s">
        <v>45</v>
      </c>
      <c r="D856">
        <v>2015</v>
      </c>
      <c r="E856" s="1">
        <v>42207</v>
      </c>
      <c r="F856" t="s">
        <v>23</v>
      </c>
      <c r="G856" s="2">
        <v>622937.07999999996</v>
      </c>
      <c r="H856" s="2">
        <v>732080.44</v>
      </c>
      <c r="I856" s="2">
        <v>1360157.11</v>
      </c>
      <c r="J856" s="2">
        <v>114442.58</v>
      </c>
      <c r="K856" s="2">
        <v>383593.91</v>
      </c>
      <c r="L856">
        <v>4.8</v>
      </c>
      <c r="M856">
        <v>19</v>
      </c>
      <c r="N856">
        <v>1102</v>
      </c>
      <c r="O856">
        <v>75</v>
      </c>
      <c r="P856" t="s">
        <v>756</v>
      </c>
      <c r="Q856" t="s">
        <v>65</v>
      </c>
      <c r="R856" s="2">
        <f>Table1[[#This Row],[Global_BoxOfficeUSD]]-Table1[[#This Row],[BudgetUSD]]</f>
        <v>737220.03000000014</v>
      </c>
      <c r="S856" s="15">
        <f>Table1[[#This Row],[Profit]]/Table1[[#This Row],[BudgetUSD]]</f>
        <v>1.1834582555271878</v>
      </c>
      <c r="T856" t="str">
        <f>IF(Table1[[#This Row],[ROI]]&gt;100%,"Hit","Flop")</f>
        <v>Hit</v>
      </c>
    </row>
    <row r="857" spans="1:20" x14ac:dyDescent="0.3">
      <c r="A857">
        <v>877</v>
      </c>
      <c r="B857" t="s">
        <v>1292</v>
      </c>
      <c r="C857" t="s">
        <v>38</v>
      </c>
      <c r="D857">
        <v>1992</v>
      </c>
      <c r="E857" s="1">
        <v>33928</v>
      </c>
      <c r="F857" t="s">
        <v>23</v>
      </c>
      <c r="G857" s="2">
        <v>436063.61</v>
      </c>
      <c r="H857" s="2">
        <v>680361.82</v>
      </c>
      <c r="I857" s="2">
        <v>1341344.22</v>
      </c>
      <c r="J857" s="2">
        <v>116384.62</v>
      </c>
      <c r="K857" s="2">
        <v>323693.42</v>
      </c>
      <c r="L857">
        <v>7.4</v>
      </c>
      <c r="M857">
        <v>49</v>
      </c>
      <c r="N857">
        <v>6176</v>
      </c>
      <c r="O857">
        <v>50</v>
      </c>
      <c r="P857" t="s">
        <v>30</v>
      </c>
      <c r="Q857" t="s">
        <v>327</v>
      </c>
      <c r="R857" s="2">
        <f>Table1[[#This Row],[Global_BoxOfficeUSD]]-Table1[[#This Row],[BudgetUSD]]</f>
        <v>905280.61</v>
      </c>
      <c r="S857" s="15">
        <f>Table1[[#This Row],[Profit]]/Table1[[#This Row],[BudgetUSD]]</f>
        <v>2.0760287931386889</v>
      </c>
      <c r="T857" t="str">
        <f>IF(Table1[[#This Row],[ROI]]&gt;100%,"Hit","Flop")</f>
        <v>Hit</v>
      </c>
    </row>
    <row r="858" spans="1:20" x14ac:dyDescent="0.3">
      <c r="A858">
        <v>70</v>
      </c>
      <c r="B858" t="s">
        <v>218</v>
      </c>
      <c r="C858" t="s">
        <v>67</v>
      </c>
      <c r="D858">
        <v>1978</v>
      </c>
      <c r="E858" s="1">
        <v>28727</v>
      </c>
      <c r="F858" t="s">
        <v>23</v>
      </c>
      <c r="G858" s="2">
        <v>315105.7</v>
      </c>
      <c r="H858" s="2">
        <v>733247.18</v>
      </c>
      <c r="I858" s="2">
        <v>1335477.81</v>
      </c>
      <c r="J858" s="2">
        <v>190391.12</v>
      </c>
      <c r="K858" s="2">
        <v>334296.65999999997</v>
      </c>
      <c r="L858">
        <v>8.1999999999999993</v>
      </c>
      <c r="M858">
        <v>97</v>
      </c>
      <c r="N858">
        <v>408</v>
      </c>
      <c r="O858">
        <v>303</v>
      </c>
      <c r="P858" t="s">
        <v>219</v>
      </c>
      <c r="Q858" t="s">
        <v>28</v>
      </c>
      <c r="R858" s="2">
        <f>Table1[[#This Row],[Global_BoxOfficeUSD]]-Table1[[#This Row],[BudgetUSD]]</f>
        <v>1020372.1100000001</v>
      </c>
      <c r="S858" s="15">
        <f>Table1[[#This Row],[Profit]]/Table1[[#This Row],[BudgetUSD]]</f>
        <v>3.2381899470558611</v>
      </c>
      <c r="T858" t="str">
        <f>IF(Table1[[#This Row],[ROI]]&gt;100%,"Hit","Flop")</f>
        <v>Hit</v>
      </c>
    </row>
    <row r="859" spans="1:20" x14ac:dyDescent="0.3">
      <c r="A859">
        <v>190</v>
      </c>
      <c r="B859" t="s">
        <v>470</v>
      </c>
      <c r="C859" t="s">
        <v>67</v>
      </c>
      <c r="D859">
        <v>2020</v>
      </c>
      <c r="E859" s="1">
        <v>43982</v>
      </c>
      <c r="F859" t="s">
        <v>23</v>
      </c>
      <c r="G859" s="2">
        <v>484085.27</v>
      </c>
      <c r="H859" s="2">
        <v>631281.64</v>
      </c>
      <c r="I859" s="2">
        <v>1328559.0900000001</v>
      </c>
      <c r="J859" s="2">
        <v>166550.39999999999</v>
      </c>
      <c r="K859" s="2">
        <v>356365.55</v>
      </c>
      <c r="L859">
        <v>7</v>
      </c>
      <c r="M859">
        <v>73</v>
      </c>
      <c r="N859">
        <v>785</v>
      </c>
      <c r="O859">
        <v>628</v>
      </c>
      <c r="P859" t="s">
        <v>231</v>
      </c>
      <c r="Q859" t="s">
        <v>447</v>
      </c>
      <c r="R859" s="2">
        <f>Table1[[#This Row],[Global_BoxOfficeUSD]]-Table1[[#This Row],[BudgetUSD]]</f>
        <v>844473.82000000007</v>
      </c>
      <c r="S859" s="15">
        <f>Table1[[#This Row],[Profit]]/Table1[[#This Row],[BudgetUSD]]</f>
        <v>1.7444732825685856</v>
      </c>
      <c r="T859" t="str">
        <f>IF(Table1[[#This Row],[ROI]]&gt;100%,"Hit","Flop")</f>
        <v>Hit</v>
      </c>
    </row>
    <row r="860" spans="1:20" x14ac:dyDescent="0.3">
      <c r="A860">
        <v>198</v>
      </c>
      <c r="B860" t="s">
        <v>345</v>
      </c>
      <c r="C860" t="s">
        <v>38</v>
      </c>
      <c r="D860">
        <v>1999</v>
      </c>
      <c r="E860" s="1">
        <v>36203</v>
      </c>
      <c r="F860" t="s">
        <v>23</v>
      </c>
      <c r="G860" s="2">
        <v>1215049.99</v>
      </c>
      <c r="H860" s="2">
        <v>575404.19999999995</v>
      </c>
      <c r="I860" s="2">
        <v>1324757.3899999999</v>
      </c>
      <c r="J860" s="2">
        <v>171349.15</v>
      </c>
      <c r="K860" s="2">
        <v>319659.74</v>
      </c>
      <c r="L860">
        <v>6.2</v>
      </c>
      <c r="M860">
        <v>67</v>
      </c>
      <c r="N860">
        <v>3096</v>
      </c>
      <c r="O860">
        <v>139</v>
      </c>
      <c r="P860" t="s">
        <v>485</v>
      </c>
      <c r="Q860" t="s">
        <v>486</v>
      </c>
      <c r="R860" s="2">
        <f>Table1[[#This Row],[Global_BoxOfficeUSD]]-Table1[[#This Row],[BudgetUSD]]</f>
        <v>109707.39999999991</v>
      </c>
      <c r="S860" s="15">
        <f>Table1[[#This Row],[Profit]]/Table1[[#This Row],[BudgetUSD]]</f>
        <v>9.0290441465704557E-2</v>
      </c>
      <c r="T860" t="str">
        <f>IF(Table1[[#This Row],[ROI]]&gt;100%,"Hit","Flop")</f>
        <v>Flop</v>
      </c>
    </row>
    <row r="861" spans="1:20" x14ac:dyDescent="0.3">
      <c r="A861">
        <v>859</v>
      </c>
      <c r="B861" t="s">
        <v>1276</v>
      </c>
      <c r="C861" t="s">
        <v>86</v>
      </c>
      <c r="D861">
        <v>2017</v>
      </c>
      <c r="E861" s="1">
        <v>42769</v>
      </c>
      <c r="F861" t="s">
        <v>23</v>
      </c>
      <c r="G861" s="2">
        <v>549751.51</v>
      </c>
      <c r="H861" s="2">
        <v>738987.09</v>
      </c>
      <c r="I861" s="2">
        <v>1315936.55</v>
      </c>
      <c r="J861" s="2">
        <v>154075.85999999999</v>
      </c>
      <c r="K861" s="2">
        <v>331812.13</v>
      </c>
      <c r="L861">
        <v>5.5</v>
      </c>
      <c r="M861">
        <v>52</v>
      </c>
      <c r="N861">
        <v>427</v>
      </c>
      <c r="O861">
        <v>2298</v>
      </c>
      <c r="P861" t="s">
        <v>153</v>
      </c>
      <c r="Q861" t="s">
        <v>724</v>
      </c>
      <c r="R861" s="2">
        <f>Table1[[#This Row],[Global_BoxOfficeUSD]]-Table1[[#This Row],[BudgetUSD]]</f>
        <v>766185.04</v>
      </c>
      <c r="S861" s="15">
        <f>Table1[[#This Row],[Profit]]/Table1[[#This Row],[BudgetUSD]]</f>
        <v>1.3936933797598847</v>
      </c>
      <c r="T861" t="str">
        <f>IF(Table1[[#This Row],[ROI]]&gt;100%,"Hit","Flop")</f>
        <v>Hit</v>
      </c>
    </row>
    <row r="862" spans="1:20" x14ac:dyDescent="0.3">
      <c r="A862">
        <v>406</v>
      </c>
      <c r="B862" t="s">
        <v>781</v>
      </c>
      <c r="C862" t="s">
        <v>86</v>
      </c>
      <c r="D862">
        <v>1989</v>
      </c>
      <c r="E862" s="1">
        <v>32845</v>
      </c>
      <c r="F862" t="s">
        <v>19</v>
      </c>
      <c r="G862" s="2">
        <v>1306636.97</v>
      </c>
      <c r="H862" s="2">
        <v>755612.66</v>
      </c>
      <c r="I862" s="2">
        <v>1306636.97</v>
      </c>
      <c r="J862" s="2">
        <v>176494.89</v>
      </c>
      <c r="K862" s="2">
        <v>397656.64</v>
      </c>
      <c r="L862">
        <v>8.5</v>
      </c>
      <c r="M862">
        <v>90</v>
      </c>
      <c r="N862">
        <v>1688</v>
      </c>
      <c r="O862">
        <v>96</v>
      </c>
      <c r="P862" t="s">
        <v>782</v>
      </c>
      <c r="Q862" t="s">
        <v>783</v>
      </c>
      <c r="R862" s="2">
        <f>Table1[[#This Row],[Global_BoxOfficeUSD]]-Table1[[#This Row],[BudgetUSD]]</f>
        <v>0</v>
      </c>
      <c r="S862" s="15">
        <f>Table1[[#This Row],[Profit]]/Table1[[#This Row],[BudgetUSD]]</f>
        <v>0</v>
      </c>
      <c r="T862" t="str">
        <f>IF(Table1[[#This Row],[ROI]]&gt;100%,"Hit","Flop")</f>
        <v>Flop</v>
      </c>
    </row>
    <row r="863" spans="1:20" x14ac:dyDescent="0.3">
      <c r="A863">
        <v>453</v>
      </c>
      <c r="B863" t="s">
        <v>845</v>
      </c>
      <c r="C863" t="s">
        <v>38</v>
      </c>
      <c r="D863">
        <v>1975</v>
      </c>
      <c r="E863" s="1">
        <v>27633</v>
      </c>
      <c r="F863" t="s">
        <v>152</v>
      </c>
      <c r="G863" s="2">
        <v>899634.44</v>
      </c>
      <c r="H863" s="2">
        <v>661651.94999999995</v>
      </c>
      <c r="I863" s="2">
        <v>1297135.29</v>
      </c>
      <c r="J863" s="2">
        <v>152625.04999999999</v>
      </c>
      <c r="K863" s="2">
        <v>376055.83</v>
      </c>
      <c r="L863">
        <v>4.4000000000000004</v>
      </c>
      <c r="M863">
        <v>58</v>
      </c>
      <c r="N863">
        <v>1536</v>
      </c>
      <c r="O863">
        <v>50</v>
      </c>
      <c r="P863" t="s">
        <v>424</v>
      </c>
      <c r="Q863" t="s">
        <v>88</v>
      </c>
      <c r="R863" s="2">
        <f>Table1[[#This Row],[Global_BoxOfficeUSD]]-Table1[[#This Row],[BudgetUSD]]</f>
        <v>397500.85000000009</v>
      </c>
      <c r="S863" s="15">
        <f>Table1[[#This Row],[Profit]]/Table1[[#This Row],[BudgetUSD]]</f>
        <v>0.44184707957601105</v>
      </c>
      <c r="T863" t="str">
        <f>IF(Table1[[#This Row],[ROI]]&gt;100%,"Hit","Flop")</f>
        <v>Flop</v>
      </c>
    </row>
    <row r="864" spans="1:20" x14ac:dyDescent="0.3">
      <c r="A864">
        <v>684</v>
      </c>
      <c r="B864" t="s">
        <v>1104</v>
      </c>
      <c r="C864" t="s">
        <v>77</v>
      </c>
      <c r="D864">
        <v>1957</v>
      </c>
      <c r="E864" s="1">
        <v>20943</v>
      </c>
      <c r="F864" t="s">
        <v>23</v>
      </c>
      <c r="G864" s="2">
        <v>318926.03000000003</v>
      </c>
      <c r="H864" s="2">
        <v>846868.29</v>
      </c>
      <c r="I864" s="2">
        <v>1296381.8600000001</v>
      </c>
      <c r="J864" s="2">
        <v>175729.75</v>
      </c>
      <c r="K864" s="2">
        <v>499103.23</v>
      </c>
      <c r="L864">
        <v>6.6</v>
      </c>
      <c r="M864">
        <v>66</v>
      </c>
      <c r="N864">
        <v>5418</v>
      </c>
      <c r="O864">
        <v>50</v>
      </c>
      <c r="P864" t="s">
        <v>246</v>
      </c>
      <c r="Q864" t="s">
        <v>567</v>
      </c>
      <c r="R864" s="2">
        <f>Table1[[#This Row],[Global_BoxOfficeUSD]]-Table1[[#This Row],[BudgetUSD]]</f>
        <v>977455.83000000007</v>
      </c>
      <c r="S864" s="15">
        <f>Table1[[#This Row],[Profit]]/Table1[[#This Row],[BudgetUSD]]</f>
        <v>3.0648355356883226</v>
      </c>
      <c r="T864" t="str">
        <f>IF(Table1[[#This Row],[ROI]]&gt;100%,"Hit","Flop")</f>
        <v>Hit</v>
      </c>
    </row>
    <row r="865" spans="1:20" x14ac:dyDescent="0.3">
      <c r="A865">
        <v>348</v>
      </c>
      <c r="B865" t="s">
        <v>702</v>
      </c>
      <c r="C865" t="s">
        <v>18</v>
      </c>
      <c r="D865">
        <v>1962</v>
      </c>
      <c r="E865" s="1">
        <v>22647</v>
      </c>
      <c r="F865" t="s">
        <v>23</v>
      </c>
      <c r="G865" s="2">
        <v>569229.65</v>
      </c>
      <c r="H865" s="2">
        <v>668602.63</v>
      </c>
      <c r="I865" s="2">
        <v>1295132.45</v>
      </c>
      <c r="J865" s="2">
        <v>161606.98000000001</v>
      </c>
      <c r="K865" s="2">
        <v>307416.08</v>
      </c>
      <c r="L865">
        <v>6.2</v>
      </c>
      <c r="M865">
        <v>72</v>
      </c>
      <c r="N865">
        <v>7945</v>
      </c>
      <c r="O865">
        <v>3263</v>
      </c>
      <c r="P865" t="s">
        <v>703</v>
      </c>
      <c r="Q865" t="s">
        <v>431</v>
      </c>
      <c r="R865" s="2">
        <f>Table1[[#This Row],[Global_BoxOfficeUSD]]-Table1[[#This Row],[BudgetUSD]]</f>
        <v>725902.79999999993</v>
      </c>
      <c r="S865" s="15">
        <f>Table1[[#This Row],[Profit]]/Table1[[#This Row],[BudgetUSD]]</f>
        <v>1.2752371560406242</v>
      </c>
      <c r="T865" t="str">
        <f>IF(Table1[[#This Row],[ROI]]&gt;100%,"Hit","Flop")</f>
        <v>Hit</v>
      </c>
    </row>
    <row r="866" spans="1:20" x14ac:dyDescent="0.3">
      <c r="A866">
        <v>869</v>
      </c>
      <c r="B866" t="s">
        <v>1285</v>
      </c>
      <c r="C866" t="s">
        <v>77</v>
      </c>
      <c r="D866">
        <v>2024</v>
      </c>
      <c r="E866" s="1">
        <v>45328</v>
      </c>
      <c r="F866" t="s">
        <v>23</v>
      </c>
      <c r="G866" s="2">
        <v>1291428.69</v>
      </c>
      <c r="H866" s="2">
        <v>736037.69</v>
      </c>
      <c r="I866" s="2">
        <v>1291428.69</v>
      </c>
      <c r="J866" s="2">
        <v>117112.3</v>
      </c>
      <c r="K866" s="2">
        <v>441100.79</v>
      </c>
      <c r="L866">
        <v>4.3</v>
      </c>
      <c r="M866">
        <v>36</v>
      </c>
      <c r="N866">
        <v>3627</v>
      </c>
      <c r="O866">
        <v>50</v>
      </c>
      <c r="P866" t="s">
        <v>658</v>
      </c>
      <c r="Q866" t="s">
        <v>303</v>
      </c>
      <c r="R866" s="2">
        <f>Table1[[#This Row],[Global_BoxOfficeUSD]]-Table1[[#This Row],[BudgetUSD]]</f>
        <v>0</v>
      </c>
      <c r="S866" s="15">
        <f>Table1[[#This Row],[Profit]]/Table1[[#This Row],[BudgetUSD]]</f>
        <v>0</v>
      </c>
      <c r="T866" t="str">
        <f>IF(Table1[[#This Row],[ROI]]&gt;100%,"Hit","Flop")</f>
        <v>Flop</v>
      </c>
    </row>
    <row r="867" spans="1:20" x14ac:dyDescent="0.3">
      <c r="A867">
        <v>437</v>
      </c>
      <c r="B867" t="s">
        <v>823</v>
      </c>
      <c r="C867" t="s">
        <v>77</v>
      </c>
      <c r="D867">
        <v>1989</v>
      </c>
      <c r="E867" s="1">
        <v>32802</v>
      </c>
      <c r="F867" t="s">
        <v>132</v>
      </c>
      <c r="G867" s="2">
        <v>1016154.81</v>
      </c>
      <c r="H867" s="2">
        <v>557943.06999999995</v>
      </c>
      <c r="I867" s="2">
        <v>1285661.6000000001</v>
      </c>
      <c r="J867" s="2">
        <v>100415.05</v>
      </c>
      <c r="K867" s="2">
        <v>274519.14</v>
      </c>
      <c r="L867">
        <v>7.7</v>
      </c>
      <c r="M867">
        <v>69</v>
      </c>
      <c r="N867">
        <v>2902</v>
      </c>
      <c r="O867">
        <v>582</v>
      </c>
      <c r="P867" t="s">
        <v>35</v>
      </c>
      <c r="Q867" t="s">
        <v>712</v>
      </c>
      <c r="R867" s="2">
        <f>Table1[[#This Row],[Global_BoxOfficeUSD]]-Table1[[#This Row],[BudgetUSD]]</f>
        <v>269506.79000000004</v>
      </c>
      <c r="S867" s="15">
        <f>Table1[[#This Row],[Profit]]/Table1[[#This Row],[BudgetUSD]]</f>
        <v>0.26522217613672472</v>
      </c>
      <c r="T867" t="str">
        <f>IF(Table1[[#This Row],[ROI]]&gt;100%,"Hit","Flop")</f>
        <v>Flop</v>
      </c>
    </row>
    <row r="868" spans="1:20" x14ac:dyDescent="0.3">
      <c r="A868">
        <v>583</v>
      </c>
      <c r="B868" t="s">
        <v>999</v>
      </c>
      <c r="C868" t="s">
        <v>18</v>
      </c>
      <c r="D868">
        <v>2009</v>
      </c>
      <c r="E868" s="1">
        <v>40141</v>
      </c>
      <c r="F868" t="s">
        <v>23</v>
      </c>
      <c r="G868" s="2">
        <v>994506.87</v>
      </c>
      <c r="H868" s="2">
        <v>541151.93999999994</v>
      </c>
      <c r="I868" s="2">
        <v>1266102.81</v>
      </c>
      <c r="J868" s="2">
        <v>95925.83</v>
      </c>
      <c r="K868" s="2">
        <v>225218.61</v>
      </c>
      <c r="L868">
        <v>7.1</v>
      </c>
      <c r="M868">
        <v>71</v>
      </c>
      <c r="N868">
        <v>10206</v>
      </c>
      <c r="O868">
        <v>3589</v>
      </c>
      <c r="P868" t="s">
        <v>690</v>
      </c>
      <c r="Q868" t="s">
        <v>482</v>
      </c>
      <c r="R868" s="2">
        <f>Table1[[#This Row],[Global_BoxOfficeUSD]]-Table1[[#This Row],[BudgetUSD]]</f>
        <v>271595.94000000006</v>
      </c>
      <c r="S868" s="15">
        <f>Table1[[#This Row],[Profit]]/Table1[[#This Row],[BudgetUSD]]</f>
        <v>0.27309609233770304</v>
      </c>
      <c r="T868" t="str">
        <f>IF(Table1[[#This Row],[ROI]]&gt;100%,"Hit","Flop")</f>
        <v>Flop</v>
      </c>
    </row>
    <row r="869" spans="1:20" x14ac:dyDescent="0.3">
      <c r="A869">
        <v>327</v>
      </c>
      <c r="B869" t="s">
        <v>676</v>
      </c>
      <c r="C869" t="s">
        <v>107</v>
      </c>
      <c r="D869">
        <v>1995</v>
      </c>
      <c r="E869" s="1">
        <v>35032</v>
      </c>
      <c r="F869" t="s">
        <v>23</v>
      </c>
      <c r="G869" s="2">
        <v>1254813.43</v>
      </c>
      <c r="H869" s="2">
        <v>676020.86</v>
      </c>
      <c r="I869" s="2">
        <v>1254813.43</v>
      </c>
      <c r="J869" s="2">
        <v>138756.44</v>
      </c>
      <c r="K869" s="2">
        <v>300892.12</v>
      </c>
      <c r="L869">
        <v>7.1</v>
      </c>
      <c r="M869">
        <v>56</v>
      </c>
      <c r="N869">
        <v>1719</v>
      </c>
      <c r="O869">
        <v>1756</v>
      </c>
      <c r="P869" t="s">
        <v>219</v>
      </c>
      <c r="Q869" t="s">
        <v>580</v>
      </c>
      <c r="R869" s="2">
        <f>Table1[[#This Row],[Global_BoxOfficeUSD]]-Table1[[#This Row],[BudgetUSD]]</f>
        <v>0</v>
      </c>
      <c r="S869" s="15">
        <f>Table1[[#This Row],[Profit]]/Table1[[#This Row],[BudgetUSD]]</f>
        <v>0</v>
      </c>
      <c r="T869" t="str">
        <f>IF(Table1[[#This Row],[ROI]]&gt;100%,"Hit","Flop")</f>
        <v>Flop</v>
      </c>
    </row>
    <row r="870" spans="1:20" x14ac:dyDescent="0.3">
      <c r="A870">
        <v>193</v>
      </c>
      <c r="B870" t="s">
        <v>475</v>
      </c>
      <c r="C870" t="s">
        <v>45</v>
      </c>
      <c r="D870">
        <v>2015</v>
      </c>
      <c r="E870" s="1">
        <v>42166</v>
      </c>
      <c r="F870" t="s">
        <v>34</v>
      </c>
      <c r="G870" s="2">
        <v>415521.29</v>
      </c>
      <c r="H870" s="2">
        <v>702042.46</v>
      </c>
      <c r="I870" s="2">
        <v>1240912.3799999999</v>
      </c>
      <c r="J870" s="2">
        <v>92840</v>
      </c>
      <c r="K870" s="2">
        <v>286255.75</v>
      </c>
      <c r="L870">
        <v>5.3</v>
      </c>
      <c r="M870">
        <v>35</v>
      </c>
      <c r="N870">
        <v>678</v>
      </c>
      <c r="O870">
        <v>171</v>
      </c>
      <c r="P870" t="s">
        <v>260</v>
      </c>
      <c r="Q870" t="s">
        <v>476</v>
      </c>
      <c r="R870" s="2">
        <f>Table1[[#This Row],[Global_BoxOfficeUSD]]-Table1[[#This Row],[BudgetUSD]]</f>
        <v>825391.08999999985</v>
      </c>
      <c r="S870" s="15">
        <f>Table1[[#This Row],[Profit]]/Table1[[#This Row],[BudgetUSD]]</f>
        <v>1.9863990362563611</v>
      </c>
      <c r="T870" t="str">
        <f>IF(Table1[[#This Row],[ROI]]&gt;100%,"Hit","Flop")</f>
        <v>Hit</v>
      </c>
    </row>
    <row r="871" spans="1:20" x14ac:dyDescent="0.3">
      <c r="A871">
        <v>200</v>
      </c>
      <c r="B871" t="s">
        <v>489</v>
      </c>
      <c r="C871" t="s">
        <v>107</v>
      </c>
      <c r="D871">
        <v>1953</v>
      </c>
      <c r="E871" s="1">
        <v>19575</v>
      </c>
      <c r="F871" t="s">
        <v>23</v>
      </c>
      <c r="G871" s="2">
        <v>1224062.3500000001</v>
      </c>
      <c r="H871" s="2">
        <v>715885.19</v>
      </c>
      <c r="I871" s="2">
        <v>1224062.3500000001</v>
      </c>
      <c r="J871" s="2">
        <v>115002.38</v>
      </c>
      <c r="K871" s="2">
        <v>301901.46000000002</v>
      </c>
      <c r="L871">
        <v>7.4</v>
      </c>
      <c r="M871">
        <v>71</v>
      </c>
      <c r="N871">
        <v>1266</v>
      </c>
      <c r="O871">
        <v>50</v>
      </c>
      <c r="P871" t="s">
        <v>490</v>
      </c>
      <c r="Q871" t="s">
        <v>311</v>
      </c>
      <c r="R871" s="2">
        <f>Table1[[#This Row],[Global_BoxOfficeUSD]]-Table1[[#This Row],[BudgetUSD]]</f>
        <v>0</v>
      </c>
      <c r="S871" s="15">
        <f>Table1[[#This Row],[Profit]]/Table1[[#This Row],[BudgetUSD]]</f>
        <v>0</v>
      </c>
      <c r="T871" t="str">
        <f>IF(Table1[[#This Row],[ROI]]&gt;100%,"Hit","Flop")</f>
        <v>Flop</v>
      </c>
    </row>
    <row r="872" spans="1:20" x14ac:dyDescent="0.3">
      <c r="A872">
        <v>278</v>
      </c>
      <c r="B872" t="s">
        <v>614</v>
      </c>
      <c r="C872" t="s">
        <v>67</v>
      </c>
      <c r="D872">
        <v>1989</v>
      </c>
      <c r="E872" s="1">
        <v>32615</v>
      </c>
      <c r="F872" t="s">
        <v>23</v>
      </c>
      <c r="G872" s="2">
        <v>405525.74</v>
      </c>
      <c r="H872" s="2">
        <v>844637.37</v>
      </c>
      <c r="I872" s="2">
        <v>1222810.56</v>
      </c>
      <c r="J872" s="2">
        <v>133615.85999999999</v>
      </c>
      <c r="K872" s="2">
        <v>387285.13</v>
      </c>
      <c r="L872">
        <v>7.4</v>
      </c>
      <c r="M872">
        <v>81</v>
      </c>
      <c r="N872">
        <v>1255</v>
      </c>
      <c r="O872">
        <v>136</v>
      </c>
      <c r="P872" t="s">
        <v>192</v>
      </c>
      <c r="Q872" t="s">
        <v>103</v>
      </c>
      <c r="R872" s="2">
        <f>Table1[[#This Row],[Global_BoxOfficeUSD]]-Table1[[#This Row],[BudgetUSD]]</f>
        <v>817284.82000000007</v>
      </c>
      <c r="S872" s="15">
        <f>Table1[[#This Row],[Profit]]/Table1[[#This Row],[BudgetUSD]]</f>
        <v>2.015371009494983</v>
      </c>
      <c r="T872" t="str">
        <f>IF(Table1[[#This Row],[ROI]]&gt;100%,"Hit","Flop")</f>
        <v>Hit</v>
      </c>
    </row>
    <row r="873" spans="1:20" x14ac:dyDescent="0.3">
      <c r="A873">
        <v>832</v>
      </c>
      <c r="B873" t="s">
        <v>1250</v>
      </c>
      <c r="C873" t="s">
        <v>38</v>
      </c>
      <c r="D873">
        <v>2009</v>
      </c>
      <c r="E873" s="1">
        <v>39892</v>
      </c>
      <c r="F873" t="s">
        <v>23</v>
      </c>
      <c r="G873" s="2">
        <v>294036.77</v>
      </c>
      <c r="H873" s="2">
        <v>650270.91</v>
      </c>
      <c r="I873" s="2">
        <v>1218548.79</v>
      </c>
      <c r="J873" s="2">
        <v>99683.64</v>
      </c>
      <c r="K873" s="2">
        <v>325658.45</v>
      </c>
      <c r="L873">
        <v>8.1999999999999993</v>
      </c>
      <c r="M873">
        <v>61</v>
      </c>
      <c r="N873">
        <v>2706</v>
      </c>
      <c r="O873">
        <v>654</v>
      </c>
      <c r="P873" t="s">
        <v>370</v>
      </c>
      <c r="Q873" t="s">
        <v>130</v>
      </c>
      <c r="R873" s="2">
        <f>Table1[[#This Row],[Global_BoxOfficeUSD]]-Table1[[#This Row],[BudgetUSD]]</f>
        <v>924512.02</v>
      </c>
      <c r="S873" s="15">
        <f>Table1[[#This Row],[Profit]]/Table1[[#This Row],[BudgetUSD]]</f>
        <v>3.1442054679079763</v>
      </c>
      <c r="T873" t="str">
        <f>IF(Table1[[#This Row],[ROI]]&gt;100%,"Hit","Flop")</f>
        <v>Hit</v>
      </c>
    </row>
    <row r="874" spans="1:20" x14ac:dyDescent="0.3">
      <c r="A874">
        <v>706</v>
      </c>
      <c r="B874" t="s">
        <v>1125</v>
      </c>
      <c r="C874" t="s">
        <v>77</v>
      </c>
      <c r="D874">
        <v>1984</v>
      </c>
      <c r="E874" s="1">
        <v>30845</v>
      </c>
      <c r="F874" t="s">
        <v>132</v>
      </c>
      <c r="G874" s="2">
        <v>1210383.46</v>
      </c>
      <c r="H874" s="2">
        <v>588625.77</v>
      </c>
      <c r="I874" s="2">
        <v>1210383.46</v>
      </c>
      <c r="J874" s="2">
        <v>171074.93</v>
      </c>
      <c r="K874" s="2">
        <v>265807.8</v>
      </c>
      <c r="L874">
        <v>7</v>
      </c>
      <c r="M874">
        <v>60</v>
      </c>
      <c r="N874">
        <v>3000</v>
      </c>
      <c r="O874">
        <v>244</v>
      </c>
      <c r="P874" t="s">
        <v>302</v>
      </c>
      <c r="Q874" t="s">
        <v>486</v>
      </c>
      <c r="R874" s="2">
        <f>Table1[[#This Row],[Global_BoxOfficeUSD]]-Table1[[#This Row],[BudgetUSD]]</f>
        <v>0</v>
      </c>
      <c r="S874" s="15">
        <f>Table1[[#This Row],[Profit]]/Table1[[#This Row],[BudgetUSD]]</f>
        <v>0</v>
      </c>
      <c r="T874" t="str">
        <f>IF(Table1[[#This Row],[ROI]]&gt;100%,"Hit","Flop")</f>
        <v>Flop</v>
      </c>
    </row>
    <row r="875" spans="1:20" x14ac:dyDescent="0.3">
      <c r="A875">
        <v>417</v>
      </c>
      <c r="B875" t="s">
        <v>798</v>
      </c>
      <c r="C875" t="s">
        <v>86</v>
      </c>
      <c r="D875">
        <v>1964</v>
      </c>
      <c r="E875" s="1">
        <v>23649</v>
      </c>
      <c r="F875" t="s">
        <v>19</v>
      </c>
      <c r="G875" s="2">
        <v>276018.44</v>
      </c>
      <c r="H875" s="2">
        <v>736912.86</v>
      </c>
      <c r="I875" s="2">
        <v>1186403.69</v>
      </c>
      <c r="J875" s="2">
        <v>156214.85999999999</v>
      </c>
      <c r="K875" s="2">
        <v>391710.71999999997</v>
      </c>
      <c r="L875">
        <v>7.3</v>
      </c>
      <c r="M875">
        <v>65</v>
      </c>
      <c r="N875">
        <v>1305</v>
      </c>
      <c r="O875">
        <v>1502</v>
      </c>
      <c r="P875" t="s">
        <v>799</v>
      </c>
      <c r="Q875" t="s">
        <v>512</v>
      </c>
      <c r="R875" s="2">
        <f>Table1[[#This Row],[Global_BoxOfficeUSD]]-Table1[[#This Row],[BudgetUSD]]</f>
        <v>910385.25</v>
      </c>
      <c r="S875" s="15">
        <f>Table1[[#This Row],[Profit]]/Table1[[#This Row],[BudgetUSD]]</f>
        <v>3.2982769194695831</v>
      </c>
      <c r="T875" t="str">
        <f>IF(Table1[[#This Row],[ROI]]&gt;100%,"Hit","Flop")</f>
        <v>Hit</v>
      </c>
    </row>
    <row r="876" spans="1:20" x14ac:dyDescent="0.3">
      <c r="A876">
        <v>365</v>
      </c>
      <c r="B876" t="s">
        <v>728</v>
      </c>
      <c r="C876" t="s">
        <v>107</v>
      </c>
      <c r="D876">
        <v>1999</v>
      </c>
      <c r="E876" s="1">
        <v>36387</v>
      </c>
      <c r="F876" t="s">
        <v>23</v>
      </c>
      <c r="G876" s="2">
        <v>1185087.7</v>
      </c>
      <c r="H876" s="2">
        <v>716993.45</v>
      </c>
      <c r="I876" s="2">
        <v>1185087.7</v>
      </c>
      <c r="J876" s="2">
        <v>73421.45</v>
      </c>
      <c r="K876" s="2">
        <v>348535.66</v>
      </c>
      <c r="L876">
        <v>7.7</v>
      </c>
      <c r="M876">
        <v>78</v>
      </c>
      <c r="N876">
        <v>3250</v>
      </c>
      <c r="O876">
        <v>1746</v>
      </c>
      <c r="P876" t="s">
        <v>64</v>
      </c>
      <c r="Q876" t="s">
        <v>375</v>
      </c>
      <c r="R876" s="2">
        <f>Table1[[#This Row],[Global_BoxOfficeUSD]]-Table1[[#This Row],[BudgetUSD]]</f>
        <v>0</v>
      </c>
      <c r="S876" s="15">
        <f>Table1[[#This Row],[Profit]]/Table1[[#This Row],[BudgetUSD]]</f>
        <v>0</v>
      </c>
      <c r="T876" t="str">
        <f>IF(Table1[[#This Row],[ROI]]&gt;100%,"Hit","Flop")</f>
        <v>Flop</v>
      </c>
    </row>
    <row r="877" spans="1:20" x14ac:dyDescent="0.3">
      <c r="A877">
        <v>254</v>
      </c>
      <c r="B877" t="s">
        <v>577</v>
      </c>
      <c r="C877" t="s">
        <v>86</v>
      </c>
      <c r="D877">
        <v>1991</v>
      </c>
      <c r="E877" s="1">
        <v>33533</v>
      </c>
      <c r="F877" t="s">
        <v>23</v>
      </c>
      <c r="G877" s="2">
        <v>284426.87</v>
      </c>
      <c r="H877" s="2">
        <v>641859.75</v>
      </c>
      <c r="I877" s="2">
        <v>1162372.7</v>
      </c>
      <c r="J877" s="2">
        <v>135095.74</v>
      </c>
      <c r="K877" s="2">
        <v>364443.49</v>
      </c>
      <c r="L877">
        <v>7.2</v>
      </c>
      <c r="M877">
        <v>84</v>
      </c>
      <c r="N877">
        <v>500</v>
      </c>
      <c r="O877">
        <v>737</v>
      </c>
      <c r="P877" t="s">
        <v>401</v>
      </c>
      <c r="Q877" t="s">
        <v>578</v>
      </c>
      <c r="R877" s="2">
        <f>Table1[[#This Row],[Global_BoxOfficeUSD]]-Table1[[#This Row],[BudgetUSD]]</f>
        <v>877945.83</v>
      </c>
      <c r="S877" s="15">
        <f>Table1[[#This Row],[Profit]]/Table1[[#This Row],[BudgetUSD]]</f>
        <v>3.0867190220108247</v>
      </c>
      <c r="T877" t="str">
        <f>IF(Table1[[#This Row],[ROI]]&gt;100%,"Hit","Flop")</f>
        <v>Hit</v>
      </c>
    </row>
    <row r="878" spans="1:20" x14ac:dyDescent="0.3">
      <c r="A878">
        <v>216</v>
      </c>
      <c r="B878" t="s">
        <v>517</v>
      </c>
      <c r="C878" t="s">
        <v>86</v>
      </c>
      <c r="D878">
        <v>1990</v>
      </c>
      <c r="E878" s="1">
        <v>33050</v>
      </c>
      <c r="F878" t="s">
        <v>23</v>
      </c>
      <c r="G878" s="2">
        <v>650093.88</v>
      </c>
      <c r="H878" s="2">
        <v>633903.05000000005</v>
      </c>
      <c r="I878" s="2">
        <v>1160499.45</v>
      </c>
      <c r="J878" s="2">
        <v>68902.509999999995</v>
      </c>
      <c r="K878" s="2">
        <v>362949.93</v>
      </c>
      <c r="L878">
        <v>9.5</v>
      </c>
      <c r="M878">
        <v>100</v>
      </c>
      <c r="N878">
        <v>19611</v>
      </c>
      <c r="O878">
        <v>50</v>
      </c>
      <c r="P878" t="s">
        <v>208</v>
      </c>
      <c r="Q878" t="s">
        <v>518</v>
      </c>
      <c r="R878" s="2">
        <f>Table1[[#This Row],[Global_BoxOfficeUSD]]-Table1[[#This Row],[BudgetUSD]]</f>
        <v>510405.56999999995</v>
      </c>
      <c r="S878" s="15">
        <f>Table1[[#This Row],[Profit]]/Table1[[#This Row],[BudgetUSD]]</f>
        <v>0.78512594211777531</v>
      </c>
      <c r="T878" t="str">
        <f>IF(Table1[[#This Row],[ROI]]&gt;100%,"Hit","Flop")</f>
        <v>Flop</v>
      </c>
    </row>
    <row r="879" spans="1:20" x14ac:dyDescent="0.3">
      <c r="A879">
        <v>170</v>
      </c>
      <c r="B879" t="s">
        <v>435</v>
      </c>
      <c r="C879" t="s">
        <v>77</v>
      </c>
      <c r="D879">
        <v>2022</v>
      </c>
      <c r="E879" s="1">
        <v>44658</v>
      </c>
      <c r="F879" t="s">
        <v>139</v>
      </c>
      <c r="G879" s="2">
        <v>374184.17</v>
      </c>
      <c r="H879" s="2">
        <v>794445.26</v>
      </c>
      <c r="I879" s="2">
        <v>1158830.3999999999</v>
      </c>
      <c r="J879" s="2">
        <v>83286.2</v>
      </c>
      <c r="K879" s="2">
        <v>348961.52</v>
      </c>
      <c r="L879">
        <v>6</v>
      </c>
      <c r="M879">
        <v>55</v>
      </c>
      <c r="N879">
        <v>4101</v>
      </c>
      <c r="O879">
        <v>139</v>
      </c>
      <c r="P879" t="s">
        <v>436</v>
      </c>
      <c r="Q879" t="s">
        <v>437</v>
      </c>
      <c r="R879" s="2">
        <f>Table1[[#This Row],[Global_BoxOfficeUSD]]-Table1[[#This Row],[BudgetUSD]]</f>
        <v>784646.23</v>
      </c>
      <c r="S879" s="15">
        <f>Table1[[#This Row],[Profit]]/Table1[[#This Row],[BudgetUSD]]</f>
        <v>2.0969519635210649</v>
      </c>
      <c r="T879" t="str">
        <f>IF(Table1[[#This Row],[ROI]]&gt;100%,"Hit","Flop")</f>
        <v>Hit</v>
      </c>
    </row>
    <row r="880" spans="1:20" x14ac:dyDescent="0.3">
      <c r="A880">
        <v>838</v>
      </c>
      <c r="B880" t="s">
        <v>1256</v>
      </c>
      <c r="C880" t="s">
        <v>67</v>
      </c>
      <c r="D880">
        <v>2007</v>
      </c>
      <c r="E880" s="1">
        <v>39121</v>
      </c>
      <c r="F880" t="s">
        <v>23</v>
      </c>
      <c r="G880" s="2">
        <v>260801.64</v>
      </c>
      <c r="H880" s="2">
        <v>665423.5</v>
      </c>
      <c r="I880" s="2">
        <v>1120452.8500000001</v>
      </c>
      <c r="J880" s="2">
        <v>77835.490000000005</v>
      </c>
      <c r="K880" s="2">
        <v>314005.01</v>
      </c>
      <c r="L880">
        <v>7.9</v>
      </c>
      <c r="M880">
        <v>58</v>
      </c>
      <c r="N880">
        <v>1574</v>
      </c>
      <c r="O880">
        <v>17083</v>
      </c>
      <c r="P880" t="s">
        <v>264</v>
      </c>
      <c r="Q880" t="s">
        <v>968</v>
      </c>
      <c r="R880" s="2">
        <f>Table1[[#This Row],[Global_BoxOfficeUSD]]-Table1[[#This Row],[BudgetUSD]]</f>
        <v>859651.21000000008</v>
      </c>
      <c r="S880" s="15">
        <f>Table1[[#This Row],[Profit]]/Table1[[#This Row],[BudgetUSD]]</f>
        <v>3.2961878997386673</v>
      </c>
      <c r="T880" t="str">
        <f>IF(Table1[[#This Row],[ROI]]&gt;100%,"Hit","Flop")</f>
        <v>Hit</v>
      </c>
    </row>
    <row r="881" spans="1:20" x14ac:dyDescent="0.3">
      <c r="A881">
        <v>655</v>
      </c>
      <c r="B881" t="s">
        <v>1075</v>
      </c>
      <c r="C881" t="s">
        <v>45</v>
      </c>
      <c r="D881">
        <v>1991</v>
      </c>
      <c r="E881" s="1">
        <v>33357</v>
      </c>
      <c r="F881" t="s">
        <v>23</v>
      </c>
      <c r="G881" s="2">
        <v>1114550.06</v>
      </c>
      <c r="H881" s="2">
        <v>459729.67</v>
      </c>
      <c r="I881" s="2">
        <v>1114550.06</v>
      </c>
      <c r="J881" s="2">
        <v>50107.15</v>
      </c>
      <c r="K881" s="2">
        <v>249595.66</v>
      </c>
      <c r="L881">
        <v>9.5</v>
      </c>
      <c r="M881">
        <v>88</v>
      </c>
      <c r="N881">
        <v>662</v>
      </c>
      <c r="O881">
        <v>50</v>
      </c>
      <c r="P881" t="s">
        <v>195</v>
      </c>
      <c r="Q881" t="s">
        <v>347</v>
      </c>
      <c r="R881" s="2">
        <f>Table1[[#This Row],[Global_BoxOfficeUSD]]-Table1[[#This Row],[BudgetUSD]]</f>
        <v>0</v>
      </c>
      <c r="S881" s="15">
        <f>Table1[[#This Row],[Profit]]/Table1[[#This Row],[BudgetUSD]]</f>
        <v>0</v>
      </c>
      <c r="T881" t="str">
        <f>IF(Table1[[#This Row],[ROI]]&gt;100%,"Hit","Flop")</f>
        <v>Flop</v>
      </c>
    </row>
    <row r="882" spans="1:20" x14ac:dyDescent="0.3">
      <c r="A882">
        <v>419</v>
      </c>
      <c r="B882" t="s">
        <v>801</v>
      </c>
      <c r="C882" t="s">
        <v>18</v>
      </c>
      <c r="D882">
        <v>1997</v>
      </c>
      <c r="E882" s="1">
        <v>35580</v>
      </c>
      <c r="F882" t="s">
        <v>34</v>
      </c>
      <c r="G882" s="2">
        <v>626450.53</v>
      </c>
      <c r="H882" s="2">
        <v>616915.39</v>
      </c>
      <c r="I882" s="2">
        <v>1108332.56</v>
      </c>
      <c r="J882" s="2">
        <v>136660.62</v>
      </c>
      <c r="K882" s="2">
        <v>350441.6</v>
      </c>
      <c r="L882">
        <v>6.9</v>
      </c>
      <c r="M882">
        <v>69</v>
      </c>
      <c r="N882">
        <v>5921</v>
      </c>
      <c r="O882">
        <v>50</v>
      </c>
      <c r="P882" t="s">
        <v>208</v>
      </c>
      <c r="Q882" t="s">
        <v>93</v>
      </c>
      <c r="R882" s="2">
        <f>Table1[[#This Row],[Global_BoxOfficeUSD]]-Table1[[#This Row],[BudgetUSD]]</f>
        <v>481882.03</v>
      </c>
      <c r="S882" s="15">
        <f>Table1[[#This Row],[Profit]]/Table1[[#This Row],[BudgetUSD]]</f>
        <v>0.76922599139631986</v>
      </c>
      <c r="T882" t="str">
        <f>IF(Table1[[#This Row],[ROI]]&gt;100%,"Hit","Flop")</f>
        <v>Flop</v>
      </c>
    </row>
    <row r="883" spans="1:20" x14ac:dyDescent="0.3">
      <c r="A883">
        <v>942</v>
      </c>
      <c r="B883" t="s">
        <v>1350</v>
      </c>
      <c r="C883" t="s">
        <v>18</v>
      </c>
      <c r="D883">
        <v>2013</v>
      </c>
      <c r="E883" s="1">
        <v>41504</v>
      </c>
      <c r="F883" t="s">
        <v>132</v>
      </c>
      <c r="G883" s="2">
        <v>941309</v>
      </c>
      <c r="H883" s="2">
        <v>595935.42000000004</v>
      </c>
      <c r="I883" s="2">
        <v>1092133.29</v>
      </c>
      <c r="J883" s="2">
        <v>138633.93</v>
      </c>
      <c r="K883" s="2">
        <v>316072.3</v>
      </c>
      <c r="L883">
        <v>4.4000000000000004</v>
      </c>
      <c r="M883">
        <v>45</v>
      </c>
      <c r="N883">
        <v>1400</v>
      </c>
      <c r="O883">
        <v>806</v>
      </c>
      <c r="P883" t="s">
        <v>703</v>
      </c>
      <c r="Q883" t="s">
        <v>1351</v>
      </c>
      <c r="R883" s="2">
        <f>Table1[[#This Row],[Global_BoxOfficeUSD]]-Table1[[#This Row],[BudgetUSD]]</f>
        <v>150824.29000000004</v>
      </c>
      <c r="S883" s="15">
        <f>Table1[[#This Row],[Profit]]/Table1[[#This Row],[BudgetUSD]]</f>
        <v>0.16022824598511226</v>
      </c>
      <c r="T883" t="str">
        <f>IF(Table1[[#This Row],[ROI]]&gt;100%,"Hit","Flop")</f>
        <v>Flop</v>
      </c>
    </row>
    <row r="884" spans="1:20" x14ac:dyDescent="0.3">
      <c r="A884">
        <v>892</v>
      </c>
      <c r="B884" t="s">
        <v>1306</v>
      </c>
      <c r="C884" t="s">
        <v>86</v>
      </c>
      <c r="D884">
        <v>2002</v>
      </c>
      <c r="E884" s="1">
        <v>37306</v>
      </c>
      <c r="F884" t="s">
        <v>23</v>
      </c>
      <c r="G884" s="2">
        <v>362542.85</v>
      </c>
      <c r="H884" s="2">
        <v>638354.88</v>
      </c>
      <c r="I884" s="2">
        <v>1085163.55</v>
      </c>
      <c r="J884" s="2">
        <v>67807.94</v>
      </c>
      <c r="K884" s="2">
        <v>278208.21999999997</v>
      </c>
      <c r="L884">
        <v>8.1999999999999993</v>
      </c>
      <c r="M884">
        <v>95</v>
      </c>
      <c r="N884">
        <v>831</v>
      </c>
      <c r="O884">
        <v>332</v>
      </c>
      <c r="P884" t="s">
        <v>87</v>
      </c>
      <c r="Q884" t="s">
        <v>664</v>
      </c>
      <c r="R884" s="2">
        <f>Table1[[#This Row],[Global_BoxOfficeUSD]]-Table1[[#This Row],[BudgetUSD]]</f>
        <v>722620.70000000007</v>
      </c>
      <c r="S884" s="15">
        <f>Table1[[#This Row],[Profit]]/Table1[[#This Row],[BudgetUSD]]</f>
        <v>1.9932008037118927</v>
      </c>
      <c r="T884" t="str">
        <f>IF(Table1[[#This Row],[ROI]]&gt;100%,"Hit","Flop")</f>
        <v>Hit</v>
      </c>
    </row>
    <row r="885" spans="1:20" x14ac:dyDescent="0.3">
      <c r="A885">
        <v>558</v>
      </c>
      <c r="B885" t="s">
        <v>971</v>
      </c>
      <c r="C885" t="s">
        <v>38</v>
      </c>
      <c r="D885">
        <v>1987</v>
      </c>
      <c r="E885" s="1">
        <v>31932</v>
      </c>
      <c r="F885" t="s">
        <v>23</v>
      </c>
      <c r="G885" s="2">
        <v>432335.99</v>
      </c>
      <c r="H885" s="2">
        <v>590378.34</v>
      </c>
      <c r="I885" s="2">
        <v>1060438.42</v>
      </c>
      <c r="J885" s="2">
        <v>101723.42</v>
      </c>
      <c r="K885" s="2">
        <v>286529.06</v>
      </c>
      <c r="L885">
        <v>5.0999999999999996</v>
      </c>
      <c r="M885">
        <v>42</v>
      </c>
      <c r="N885">
        <v>1369</v>
      </c>
      <c r="O885">
        <v>105</v>
      </c>
      <c r="P885" t="s">
        <v>277</v>
      </c>
      <c r="Q885" t="s">
        <v>47</v>
      </c>
      <c r="R885" s="2">
        <f>Table1[[#This Row],[Global_BoxOfficeUSD]]-Table1[[#This Row],[BudgetUSD]]</f>
        <v>628102.42999999993</v>
      </c>
      <c r="S885" s="15">
        <f>Table1[[#This Row],[Profit]]/Table1[[#This Row],[BudgetUSD]]</f>
        <v>1.4528108797974464</v>
      </c>
      <c r="T885" t="str">
        <f>IF(Table1[[#This Row],[ROI]]&gt;100%,"Hit","Flop")</f>
        <v>Hit</v>
      </c>
    </row>
    <row r="886" spans="1:20" x14ac:dyDescent="0.3">
      <c r="A886">
        <v>261</v>
      </c>
      <c r="B886" t="s">
        <v>585</v>
      </c>
      <c r="C886" t="s">
        <v>38</v>
      </c>
      <c r="D886">
        <v>1999</v>
      </c>
      <c r="E886" s="1">
        <v>36348</v>
      </c>
      <c r="F886" t="s">
        <v>23</v>
      </c>
      <c r="G886" s="2">
        <v>565000.31999999995</v>
      </c>
      <c r="H886" s="2">
        <v>515732.64</v>
      </c>
      <c r="I886" s="2">
        <v>1055660.1499999999</v>
      </c>
      <c r="J886" s="2">
        <v>112786.01</v>
      </c>
      <c r="K886" s="2">
        <v>300214.23</v>
      </c>
      <c r="L886">
        <v>7.5</v>
      </c>
      <c r="M886">
        <v>74</v>
      </c>
      <c r="N886">
        <v>230</v>
      </c>
      <c r="O886">
        <v>170</v>
      </c>
      <c r="P886" t="s">
        <v>380</v>
      </c>
      <c r="Q886" t="s">
        <v>69</v>
      </c>
      <c r="R886" s="2">
        <f>Table1[[#This Row],[Global_BoxOfficeUSD]]-Table1[[#This Row],[BudgetUSD]]</f>
        <v>490659.82999999996</v>
      </c>
      <c r="S886" s="15">
        <f>Table1[[#This Row],[Profit]]/Table1[[#This Row],[BudgetUSD]]</f>
        <v>0.86842398602535309</v>
      </c>
      <c r="T886" t="str">
        <f>IF(Table1[[#This Row],[ROI]]&gt;100%,"Hit","Flop")</f>
        <v>Flop</v>
      </c>
    </row>
    <row r="887" spans="1:20" x14ac:dyDescent="0.3">
      <c r="A887">
        <v>734</v>
      </c>
      <c r="B887" t="s">
        <v>1151</v>
      </c>
      <c r="C887" t="s">
        <v>38</v>
      </c>
      <c r="D887">
        <v>2013</v>
      </c>
      <c r="E887" s="1">
        <v>41384</v>
      </c>
      <c r="F887" t="s">
        <v>19</v>
      </c>
      <c r="G887" s="2">
        <v>1044016.97</v>
      </c>
      <c r="H887" s="2">
        <v>568334.43999999994</v>
      </c>
      <c r="I887" s="2">
        <v>1044016.97</v>
      </c>
      <c r="J887" s="2">
        <v>100256.2</v>
      </c>
      <c r="K887" s="2">
        <v>286997.18</v>
      </c>
      <c r="L887">
        <v>5.9</v>
      </c>
      <c r="M887">
        <v>50</v>
      </c>
      <c r="N887">
        <v>5517</v>
      </c>
      <c r="O887">
        <v>50</v>
      </c>
      <c r="P887" t="s">
        <v>690</v>
      </c>
      <c r="Q887" t="s">
        <v>473</v>
      </c>
      <c r="R887" s="2">
        <f>Table1[[#This Row],[Global_BoxOfficeUSD]]-Table1[[#This Row],[BudgetUSD]]</f>
        <v>0</v>
      </c>
      <c r="S887" s="15">
        <f>Table1[[#This Row],[Profit]]/Table1[[#This Row],[BudgetUSD]]</f>
        <v>0</v>
      </c>
      <c r="T887" t="str">
        <f>IF(Table1[[#This Row],[ROI]]&gt;100%,"Hit","Flop")</f>
        <v>Flop</v>
      </c>
    </row>
    <row r="888" spans="1:20" x14ac:dyDescent="0.3">
      <c r="A888">
        <v>422</v>
      </c>
      <c r="B888" t="s">
        <v>805</v>
      </c>
      <c r="C888" t="s">
        <v>38</v>
      </c>
      <c r="D888">
        <v>1979</v>
      </c>
      <c r="E888" s="1">
        <v>28950</v>
      </c>
      <c r="F888" t="s">
        <v>23</v>
      </c>
      <c r="G888" s="2">
        <v>733299.32</v>
      </c>
      <c r="H888" s="2">
        <v>556126.67000000004</v>
      </c>
      <c r="I888" s="2">
        <v>1028474.89</v>
      </c>
      <c r="J888" s="2">
        <v>131041.35</v>
      </c>
      <c r="K888" s="2">
        <v>322515.84000000003</v>
      </c>
      <c r="L888">
        <v>6.9</v>
      </c>
      <c r="M888">
        <v>66</v>
      </c>
      <c r="N888">
        <v>2794</v>
      </c>
      <c r="O888">
        <v>777</v>
      </c>
      <c r="P888" t="s">
        <v>419</v>
      </c>
      <c r="Q888" t="s">
        <v>806</v>
      </c>
      <c r="R888" s="2">
        <f>Table1[[#This Row],[Global_BoxOfficeUSD]]-Table1[[#This Row],[BudgetUSD]]</f>
        <v>295175.57000000007</v>
      </c>
      <c r="S888" s="15">
        <f>Table1[[#This Row],[Profit]]/Table1[[#This Row],[BudgetUSD]]</f>
        <v>0.40253081101998034</v>
      </c>
      <c r="T888" t="str">
        <f>IF(Table1[[#This Row],[ROI]]&gt;100%,"Hit","Flop")</f>
        <v>Flop</v>
      </c>
    </row>
    <row r="889" spans="1:20" x14ac:dyDescent="0.3">
      <c r="A889">
        <v>845</v>
      </c>
      <c r="B889" t="s">
        <v>755</v>
      </c>
      <c r="C889" t="s">
        <v>38</v>
      </c>
      <c r="D889">
        <v>1977</v>
      </c>
      <c r="E889" s="1">
        <v>28329</v>
      </c>
      <c r="F889" t="s">
        <v>23</v>
      </c>
      <c r="G889" s="2">
        <v>1020063.7</v>
      </c>
      <c r="H889" s="2">
        <v>494691.17</v>
      </c>
      <c r="I889" s="2">
        <v>1020063.7</v>
      </c>
      <c r="J889" s="2">
        <v>86156.54</v>
      </c>
      <c r="K889" s="2">
        <v>220642.23</v>
      </c>
      <c r="L889">
        <v>6.7</v>
      </c>
      <c r="M889">
        <v>72</v>
      </c>
      <c r="N889">
        <v>14924</v>
      </c>
      <c r="O889">
        <v>253</v>
      </c>
      <c r="P889" t="s">
        <v>990</v>
      </c>
      <c r="Q889" t="s">
        <v>78</v>
      </c>
      <c r="R889" s="2">
        <f>Table1[[#This Row],[Global_BoxOfficeUSD]]-Table1[[#This Row],[BudgetUSD]]</f>
        <v>0</v>
      </c>
      <c r="S889" s="15">
        <f>Table1[[#This Row],[Profit]]/Table1[[#This Row],[BudgetUSD]]</f>
        <v>0</v>
      </c>
      <c r="T889" t="str">
        <f>IF(Table1[[#This Row],[ROI]]&gt;100%,"Hit","Flop")</f>
        <v>Flop</v>
      </c>
    </row>
    <row r="890" spans="1:20" x14ac:dyDescent="0.3">
      <c r="A890">
        <v>977</v>
      </c>
      <c r="B890" t="s">
        <v>1387</v>
      </c>
      <c r="C890" t="s">
        <v>45</v>
      </c>
      <c r="D890">
        <v>1996</v>
      </c>
      <c r="E890" s="1">
        <v>35225</v>
      </c>
      <c r="F890" t="s">
        <v>23</v>
      </c>
      <c r="G890" s="2">
        <v>392580.46</v>
      </c>
      <c r="H890" s="2">
        <v>681096.14</v>
      </c>
      <c r="I890" s="2">
        <v>1007182.71</v>
      </c>
      <c r="J890" s="2">
        <v>82265.58</v>
      </c>
      <c r="K890" s="2">
        <v>381153.12</v>
      </c>
      <c r="L890">
        <v>9.5</v>
      </c>
      <c r="M890">
        <v>92</v>
      </c>
      <c r="N890">
        <v>1420</v>
      </c>
      <c r="O890">
        <v>50</v>
      </c>
      <c r="P890" t="s">
        <v>1388</v>
      </c>
      <c r="Q890" t="s">
        <v>285</v>
      </c>
      <c r="R890" s="2">
        <f>Table1[[#This Row],[Global_BoxOfficeUSD]]-Table1[[#This Row],[BudgetUSD]]</f>
        <v>614602.25</v>
      </c>
      <c r="S890" s="15">
        <f>Table1[[#This Row],[Profit]]/Table1[[#This Row],[BudgetUSD]]</f>
        <v>1.5655446784080898</v>
      </c>
      <c r="T890" t="str">
        <f>IF(Table1[[#This Row],[ROI]]&gt;100%,"Hit","Flop")</f>
        <v>Hit</v>
      </c>
    </row>
    <row r="891" spans="1:20" x14ac:dyDescent="0.3">
      <c r="A891">
        <v>609</v>
      </c>
      <c r="B891" t="s">
        <v>1028</v>
      </c>
      <c r="C891" t="s">
        <v>67</v>
      </c>
      <c r="D891">
        <v>1975</v>
      </c>
      <c r="E891" s="1">
        <v>27689</v>
      </c>
      <c r="F891" t="s">
        <v>23</v>
      </c>
      <c r="G891" s="2">
        <v>658505.72</v>
      </c>
      <c r="H891" s="2">
        <v>621425.59</v>
      </c>
      <c r="I891" s="2">
        <v>996612.88</v>
      </c>
      <c r="J891" s="2">
        <v>86092.479999999996</v>
      </c>
      <c r="K891" s="2">
        <v>304125.88</v>
      </c>
      <c r="L891">
        <v>6</v>
      </c>
      <c r="M891">
        <v>63</v>
      </c>
      <c r="N891">
        <v>15599</v>
      </c>
      <c r="O891">
        <v>50</v>
      </c>
      <c r="P891" t="s">
        <v>126</v>
      </c>
      <c r="Q891" t="s">
        <v>678</v>
      </c>
      <c r="R891" s="2">
        <f>Table1[[#This Row],[Global_BoxOfficeUSD]]-Table1[[#This Row],[BudgetUSD]]</f>
        <v>338107.16000000003</v>
      </c>
      <c r="S891" s="15">
        <f>Table1[[#This Row],[Profit]]/Table1[[#This Row],[BudgetUSD]]</f>
        <v>0.51344604872984256</v>
      </c>
      <c r="T891" t="str">
        <f>IF(Table1[[#This Row],[ROI]]&gt;100%,"Hit","Flop")</f>
        <v>Flop</v>
      </c>
    </row>
    <row r="892" spans="1:20" x14ac:dyDescent="0.3">
      <c r="A892">
        <v>890</v>
      </c>
      <c r="B892" t="s">
        <v>1305</v>
      </c>
      <c r="C892" t="s">
        <v>107</v>
      </c>
      <c r="D892">
        <v>2015</v>
      </c>
      <c r="E892" s="1">
        <v>42101</v>
      </c>
      <c r="F892" t="s">
        <v>23</v>
      </c>
      <c r="G892" s="2">
        <v>487796.7</v>
      </c>
      <c r="H892" s="2">
        <v>459061.52</v>
      </c>
      <c r="I892" s="2">
        <v>983029.83</v>
      </c>
      <c r="J892" s="2">
        <v>89249.98</v>
      </c>
      <c r="K892" s="2">
        <v>221146.3</v>
      </c>
      <c r="L892">
        <v>6.8</v>
      </c>
      <c r="M892">
        <v>77</v>
      </c>
      <c r="N892">
        <v>172</v>
      </c>
      <c r="O892">
        <v>456</v>
      </c>
      <c r="P892" t="s">
        <v>865</v>
      </c>
      <c r="Q892" t="s">
        <v>696</v>
      </c>
      <c r="R892" s="2">
        <f>Table1[[#This Row],[Global_BoxOfficeUSD]]-Table1[[#This Row],[BudgetUSD]]</f>
        <v>495233.12999999995</v>
      </c>
      <c r="S892" s="15">
        <f>Table1[[#This Row],[Profit]]/Table1[[#This Row],[BudgetUSD]]</f>
        <v>1.0152449370813701</v>
      </c>
      <c r="T892" t="str">
        <f>IF(Table1[[#This Row],[ROI]]&gt;100%,"Hit","Flop")</f>
        <v>Hit</v>
      </c>
    </row>
    <row r="893" spans="1:20" x14ac:dyDescent="0.3">
      <c r="A893">
        <v>618</v>
      </c>
      <c r="B893" t="s">
        <v>1036</v>
      </c>
      <c r="C893" t="s">
        <v>67</v>
      </c>
      <c r="D893">
        <v>2000</v>
      </c>
      <c r="E893" s="1">
        <v>36547</v>
      </c>
      <c r="F893" t="s">
        <v>23</v>
      </c>
      <c r="G893" s="2">
        <v>968188.89</v>
      </c>
      <c r="H893" s="2">
        <v>672062.25</v>
      </c>
      <c r="I893" s="2">
        <v>968188.89</v>
      </c>
      <c r="J893" s="2">
        <v>140474.79999999999</v>
      </c>
      <c r="K893" s="2">
        <v>400882.36</v>
      </c>
      <c r="L893">
        <v>3.9</v>
      </c>
      <c r="M893">
        <v>54</v>
      </c>
      <c r="N893">
        <v>1579</v>
      </c>
      <c r="O893">
        <v>181</v>
      </c>
      <c r="P893" t="s">
        <v>458</v>
      </c>
      <c r="Q893" t="s">
        <v>308</v>
      </c>
      <c r="R893" s="2">
        <f>Table1[[#This Row],[Global_BoxOfficeUSD]]-Table1[[#This Row],[BudgetUSD]]</f>
        <v>0</v>
      </c>
      <c r="S893" s="15">
        <f>Table1[[#This Row],[Profit]]/Table1[[#This Row],[BudgetUSD]]</f>
        <v>0</v>
      </c>
      <c r="T893" t="str">
        <f>IF(Table1[[#This Row],[ROI]]&gt;100%,"Hit","Flop")</f>
        <v>Flop</v>
      </c>
    </row>
    <row r="894" spans="1:20" x14ac:dyDescent="0.3">
      <c r="A894">
        <v>752</v>
      </c>
      <c r="B894" t="s">
        <v>1172</v>
      </c>
      <c r="C894" t="s">
        <v>45</v>
      </c>
      <c r="D894">
        <v>2000</v>
      </c>
      <c r="E894" s="1">
        <v>36570</v>
      </c>
      <c r="F894" t="s">
        <v>132</v>
      </c>
      <c r="G894" s="2">
        <v>452081.44</v>
      </c>
      <c r="H894" s="2">
        <v>461369.57</v>
      </c>
      <c r="I894" s="2">
        <v>966738.85</v>
      </c>
      <c r="J894" s="2">
        <v>82357.55</v>
      </c>
      <c r="K894" s="2">
        <v>239057.19</v>
      </c>
      <c r="L894">
        <v>7.2</v>
      </c>
      <c r="M894">
        <v>75</v>
      </c>
      <c r="N894">
        <v>19857</v>
      </c>
      <c r="O894">
        <v>49756</v>
      </c>
      <c r="P894" t="s">
        <v>156</v>
      </c>
      <c r="Q894" t="s">
        <v>31</v>
      </c>
      <c r="R894" s="2">
        <f>Table1[[#This Row],[Global_BoxOfficeUSD]]-Table1[[#This Row],[BudgetUSD]]</f>
        <v>514657.41</v>
      </c>
      <c r="S894" s="15">
        <f>Table1[[#This Row],[Profit]]/Table1[[#This Row],[BudgetUSD]]</f>
        <v>1.1384174718608222</v>
      </c>
      <c r="T894" t="str">
        <f>IF(Table1[[#This Row],[ROI]]&gt;100%,"Hit","Flop")</f>
        <v>Hit</v>
      </c>
    </row>
    <row r="895" spans="1:20" x14ac:dyDescent="0.3">
      <c r="A895">
        <v>966</v>
      </c>
      <c r="B895" t="s">
        <v>1375</v>
      </c>
      <c r="C895" t="s">
        <v>38</v>
      </c>
      <c r="D895">
        <v>1985</v>
      </c>
      <c r="E895" s="1">
        <v>31185</v>
      </c>
      <c r="F895" t="s">
        <v>23</v>
      </c>
      <c r="G895" s="2">
        <v>959952.33</v>
      </c>
      <c r="H895" s="2">
        <v>585056.48</v>
      </c>
      <c r="I895" s="2">
        <v>959952.33</v>
      </c>
      <c r="J895" s="2">
        <v>71031.100000000006</v>
      </c>
      <c r="K895" s="2">
        <v>310181.94</v>
      </c>
      <c r="L895">
        <v>5.2</v>
      </c>
      <c r="M895">
        <v>51</v>
      </c>
      <c r="N895">
        <v>1645</v>
      </c>
      <c r="O895">
        <v>80</v>
      </c>
      <c r="P895" t="s">
        <v>123</v>
      </c>
      <c r="Q895" t="s">
        <v>785</v>
      </c>
      <c r="R895" s="2">
        <f>Table1[[#This Row],[Global_BoxOfficeUSD]]-Table1[[#This Row],[BudgetUSD]]</f>
        <v>0</v>
      </c>
      <c r="S895" s="15">
        <f>Table1[[#This Row],[Profit]]/Table1[[#This Row],[BudgetUSD]]</f>
        <v>0</v>
      </c>
      <c r="T895" t="str">
        <f>IF(Table1[[#This Row],[ROI]]&gt;100%,"Hit","Flop")</f>
        <v>Flop</v>
      </c>
    </row>
    <row r="896" spans="1:20" x14ac:dyDescent="0.3">
      <c r="A896">
        <v>740</v>
      </c>
      <c r="B896" t="s">
        <v>1158</v>
      </c>
      <c r="C896" t="s">
        <v>18</v>
      </c>
      <c r="D896">
        <v>1987</v>
      </c>
      <c r="E896" s="1">
        <v>32001</v>
      </c>
      <c r="F896" t="s">
        <v>23</v>
      </c>
      <c r="G896" s="2">
        <v>942054.86</v>
      </c>
      <c r="H896" s="2">
        <v>622166.79</v>
      </c>
      <c r="I896" s="2">
        <v>942054.86</v>
      </c>
      <c r="J896" s="2">
        <v>163459.81</v>
      </c>
      <c r="K896" s="2">
        <v>313065.40000000002</v>
      </c>
      <c r="L896">
        <v>6.9</v>
      </c>
      <c r="M896">
        <v>44</v>
      </c>
      <c r="N896">
        <v>598</v>
      </c>
      <c r="O896">
        <v>644</v>
      </c>
      <c r="P896" t="s">
        <v>485</v>
      </c>
      <c r="Q896" t="s">
        <v>462</v>
      </c>
      <c r="R896" s="2">
        <f>Table1[[#This Row],[Global_BoxOfficeUSD]]-Table1[[#This Row],[BudgetUSD]]</f>
        <v>0</v>
      </c>
      <c r="S896" s="15">
        <f>Table1[[#This Row],[Profit]]/Table1[[#This Row],[BudgetUSD]]</f>
        <v>0</v>
      </c>
      <c r="T896" t="str">
        <f>IF(Table1[[#This Row],[ROI]]&gt;100%,"Hit","Flop")</f>
        <v>Flop</v>
      </c>
    </row>
    <row r="897" spans="1:20" x14ac:dyDescent="0.3">
      <c r="A897">
        <v>714</v>
      </c>
      <c r="B897" t="s">
        <v>1133</v>
      </c>
      <c r="C897" t="s">
        <v>38</v>
      </c>
      <c r="D897">
        <v>2004</v>
      </c>
      <c r="E897" s="1">
        <v>38066</v>
      </c>
      <c r="F897" t="s">
        <v>23</v>
      </c>
      <c r="G897" s="2">
        <v>508741.06</v>
      </c>
      <c r="H897" s="2">
        <v>458674.37</v>
      </c>
      <c r="I897" s="2">
        <v>936531.66</v>
      </c>
      <c r="J897" s="2">
        <v>68630.2</v>
      </c>
      <c r="K897" s="2">
        <v>226459.15</v>
      </c>
      <c r="L897">
        <v>7.9</v>
      </c>
      <c r="M897">
        <v>87</v>
      </c>
      <c r="N897">
        <v>274</v>
      </c>
      <c r="O897">
        <v>50</v>
      </c>
      <c r="P897" t="s">
        <v>351</v>
      </c>
      <c r="Q897" t="s">
        <v>168</v>
      </c>
      <c r="R897" s="2">
        <f>Table1[[#This Row],[Global_BoxOfficeUSD]]-Table1[[#This Row],[BudgetUSD]]</f>
        <v>427790.60000000003</v>
      </c>
      <c r="S897" s="15">
        <f>Table1[[#This Row],[Profit]]/Table1[[#This Row],[BudgetUSD]]</f>
        <v>0.84088082058876878</v>
      </c>
      <c r="T897" t="str">
        <f>IF(Table1[[#This Row],[ROI]]&gt;100%,"Hit","Flop")</f>
        <v>Flop</v>
      </c>
    </row>
    <row r="898" spans="1:20" x14ac:dyDescent="0.3">
      <c r="A898">
        <v>501</v>
      </c>
      <c r="B898" t="s">
        <v>906</v>
      </c>
      <c r="C898" t="s">
        <v>45</v>
      </c>
      <c r="D898">
        <v>2012</v>
      </c>
      <c r="E898" s="1">
        <v>40987</v>
      </c>
      <c r="F898" t="s">
        <v>23</v>
      </c>
      <c r="G898" s="2">
        <v>282020.90000000002</v>
      </c>
      <c r="H898" s="2">
        <v>614102.07999999996</v>
      </c>
      <c r="I898" s="2">
        <v>934485.91</v>
      </c>
      <c r="J898" s="2">
        <v>73228.009999999995</v>
      </c>
      <c r="K898" s="2">
        <v>266460</v>
      </c>
      <c r="L898">
        <v>7.1</v>
      </c>
      <c r="M898">
        <v>66</v>
      </c>
      <c r="N898">
        <v>20881</v>
      </c>
      <c r="O898">
        <v>50</v>
      </c>
      <c r="P898" t="s">
        <v>187</v>
      </c>
      <c r="Q898" t="s">
        <v>907</v>
      </c>
      <c r="R898" s="2">
        <f>Table1[[#This Row],[Global_BoxOfficeUSD]]-Table1[[#This Row],[BudgetUSD]]</f>
        <v>652465.01</v>
      </c>
      <c r="S898" s="15">
        <f>Table1[[#This Row],[Profit]]/Table1[[#This Row],[BudgetUSD]]</f>
        <v>2.3135342451570078</v>
      </c>
      <c r="T898" t="str">
        <f>IF(Table1[[#This Row],[ROI]]&gt;100%,"Hit","Flop")</f>
        <v>Hit</v>
      </c>
    </row>
    <row r="899" spans="1:20" x14ac:dyDescent="0.3">
      <c r="A899">
        <v>902</v>
      </c>
      <c r="B899" t="s">
        <v>1160</v>
      </c>
      <c r="C899" t="s">
        <v>38</v>
      </c>
      <c r="D899">
        <v>2003</v>
      </c>
      <c r="E899" s="1">
        <v>37743</v>
      </c>
      <c r="F899" t="s">
        <v>139</v>
      </c>
      <c r="G899" s="2">
        <v>666004.78</v>
      </c>
      <c r="H899" s="2">
        <v>610127.38</v>
      </c>
      <c r="I899" s="2">
        <v>934245.12</v>
      </c>
      <c r="J899" s="2">
        <v>111037.98</v>
      </c>
      <c r="K899" s="2">
        <v>268942.8</v>
      </c>
      <c r="L899">
        <v>7</v>
      </c>
      <c r="M899">
        <v>78</v>
      </c>
      <c r="N899">
        <v>2799</v>
      </c>
      <c r="O899">
        <v>844</v>
      </c>
      <c r="P899" t="s">
        <v>42</v>
      </c>
      <c r="Q899" t="s">
        <v>40</v>
      </c>
      <c r="R899" s="2">
        <f>Table1[[#This Row],[Global_BoxOfficeUSD]]-Table1[[#This Row],[BudgetUSD]]</f>
        <v>268240.33999999997</v>
      </c>
      <c r="S899" s="15">
        <f>Table1[[#This Row],[Profit]]/Table1[[#This Row],[BudgetUSD]]</f>
        <v>0.40276038259064739</v>
      </c>
      <c r="T899" t="str">
        <f>IF(Table1[[#This Row],[ROI]]&gt;100%,"Hit","Flop")</f>
        <v>Flop</v>
      </c>
    </row>
    <row r="900" spans="1:20" x14ac:dyDescent="0.3">
      <c r="A900">
        <v>263</v>
      </c>
      <c r="B900" t="s">
        <v>587</v>
      </c>
      <c r="C900" t="s">
        <v>77</v>
      </c>
      <c r="D900">
        <v>2020</v>
      </c>
      <c r="E900" s="1">
        <v>43943</v>
      </c>
      <c r="F900" t="s">
        <v>23</v>
      </c>
      <c r="G900" s="2">
        <v>217487.98</v>
      </c>
      <c r="H900" s="2">
        <v>467236.31</v>
      </c>
      <c r="I900" s="2">
        <v>914002.29</v>
      </c>
      <c r="J900" s="2">
        <v>108537.56</v>
      </c>
      <c r="K900" s="2">
        <v>268980.46999999997</v>
      </c>
      <c r="L900">
        <v>8.1</v>
      </c>
      <c r="M900">
        <v>79</v>
      </c>
      <c r="N900">
        <v>30301</v>
      </c>
      <c r="O900">
        <v>6528</v>
      </c>
      <c r="P900" t="s">
        <v>49</v>
      </c>
      <c r="Q900" t="s">
        <v>514</v>
      </c>
      <c r="R900" s="2">
        <f>Table1[[#This Row],[Global_BoxOfficeUSD]]-Table1[[#This Row],[BudgetUSD]]</f>
        <v>696514.31</v>
      </c>
      <c r="S900" s="15">
        <f>Table1[[#This Row],[Profit]]/Table1[[#This Row],[BudgetUSD]]</f>
        <v>3.202541630116754</v>
      </c>
      <c r="T900" t="str">
        <f>IF(Table1[[#This Row],[ROI]]&gt;100%,"Hit","Flop")</f>
        <v>Hit</v>
      </c>
    </row>
    <row r="901" spans="1:20" x14ac:dyDescent="0.3">
      <c r="A901">
        <v>337</v>
      </c>
      <c r="B901" t="s">
        <v>688</v>
      </c>
      <c r="C901" t="s">
        <v>67</v>
      </c>
      <c r="D901">
        <v>2002</v>
      </c>
      <c r="E901" s="1">
        <v>37421</v>
      </c>
      <c r="F901" t="s">
        <v>132</v>
      </c>
      <c r="G901" s="2">
        <v>229206.89</v>
      </c>
      <c r="H901" s="2">
        <v>632135.43000000005</v>
      </c>
      <c r="I901" s="2">
        <v>910095.59</v>
      </c>
      <c r="J901" s="2">
        <v>180304.57</v>
      </c>
      <c r="K901" s="2">
        <v>363084.28</v>
      </c>
      <c r="L901">
        <v>7.5</v>
      </c>
      <c r="M901">
        <v>97</v>
      </c>
      <c r="N901">
        <v>157</v>
      </c>
      <c r="O901">
        <v>50</v>
      </c>
      <c r="P901" t="s">
        <v>268</v>
      </c>
      <c r="Q901" t="s">
        <v>72</v>
      </c>
      <c r="R901" s="2">
        <f>Table1[[#This Row],[Global_BoxOfficeUSD]]-Table1[[#This Row],[BudgetUSD]]</f>
        <v>680888.7</v>
      </c>
      <c r="S901" s="15">
        <f>Table1[[#This Row],[Profit]]/Table1[[#This Row],[BudgetUSD]]</f>
        <v>2.970629286056802</v>
      </c>
      <c r="T901" t="str">
        <f>IF(Table1[[#This Row],[ROI]]&gt;100%,"Hit","Flop")</f>
        <v>Hit</v>
      </c>
    </row>
    <row r="902" spans="1:20" x14ac:dyDescent="0.3">
      <c r="A902">
        <v>436</v>
      </c>
      <c r="B902" t="s">
        <v>822</v>
      </c>
      <c r="C902" t="s">
        <v>77</v>
      </c>
      <c r="D902">
        <v>1980</v>
      </c>
      <c r="E902" s="1">
        <v>29282</v>
      </c>
      <c r="F902" t="s">
        <v>19</v>
      </c>
      <c r="G902" s="2">
        <v>909388.44</v>
      </c>
      <c r="H902" s="2">
        <v>508985.74</v>
      </c>
      <c r="I902" s="2">
        <v>909388.44</v>
      </c>
      <c r="J902" s="2">
        <v>102850.32</v>
      </c>
      <c r="K902" s="2">
        <v>203860.81</v>
      </c>
      <c r="L902">
        <v>9.6999999999999993</v>
      </c>
      <c r="M902">
        <v>99</v>
      </c>
      <c r="N902">
        <v>1038</v>
      </c>
      <c r="O902">
        <v>1514</v>
      </c>
      <c r="P902" t="s">
        <v>140</v>
      </c>
      <c r="Q902" t="s">
        <v>439</v>
      </c>
      <c r="R902" s="2">
        <f>Table1[[#This Row],[Global_BoxOfficeUSD]]-Table1[[#This Row],[BudgetUSD]]</f>
        <v>0</v>
      </c>
      <c r="S902" s="15">
        <f>Table1[[#This Row],[Profit]]/Table1[[#This Row],[BudgetUSD]]</f>
        <v>0</v>
      </c>
      <c r="T902" t="str">
        <f>IF(Table1[[#This Row],[ROI]]&gt;100%,"Hit","Flop")</f>
        <v>Flop</v>
      </c>
    </row>
    <row r="903" spans="1:20" x14ac:dyDescent="0.3">
      <c r="A903">
        <v>884</v>
      </c>
      <c r="B903" t="s">
        <v>1299</v>
      </c>
      <c r="C903" t="s">
        <v>67</v>
      </c>
      <c r="D903">
        <v>2008</v>
      </c>
      <c r="E903" s="1">
        <v>39772</v>
      </c>
      <c r="F903" t="s">
        <v>23</v>
      </c>
      <c r="G903" s="2">
        <v>357243.95</v>
      </c>
      <c r="H903" s="2">
        <v>373815.47</v>
      </c>
      <c r="I903" s="2">
        <v>905449.32</v>
      </c>
      <c r="J903" s="2">
        <v>92412.47</v>
      </c>
      <c r="K903" s="2">
        <v>154793.12</v>
      </c>
      <c r="L903">
        <v>8</v>
      </c>
      <c r="M903">
        <v>100</v>
      </c>
      <c r="N903">
        <v>4380</v>
      </c>
      <c r="O903">
        <v>720</v>
      </c>
      <c r="P903" t="s">
        <v>337</v>
      </c>
      <c r="Q903" t="s">
        <v>198</v>
      </c>
      <c r="R903" s="2">
        <f>Table1[[#This Row],[Global_BoxOfficeUSD]]-Table1[[#This Row],[BudgetUSD]]</f>
        <v>548205.36999999988</v>
      </c>
      <c r="S903" s="15">
        <f>Table1[[#This Row],[Profit]]/Table1[[#This Row],[BudgetUSD]]</f>
        <v>1.5345406689182557</v>
      </c>
      <c r="T903" t="str">
        <f>IF(Table1[[#This Row],[ROI]]&gt;100%,"Hit","Flop")</f>
        <v>Hit</v>
      </c>
    </row>
    <row r="904" spans="1:20" x14ac:dyDescent="0.3">
      <c r="A904">
        <v>247</v>
      </c>
      <c r="B904" t="s">
        <v>565</v>
      </c>
      <c r="C904" t="s">
        <v>86</v>
      </c>
      <c r="D904">
        <v>1990</v>
      </c>
      <c r="E904" s="1">
        <v>33168</v>
      </c>
      <c r="F904" t="s">
        <v>23</v>
      </c>
      <c r="G904" s="2">
        <v>504623.33</v>
      </c>
      <c r="H904" s="2">
        <v>531446.14</v>
      </c>
      <c r="I904" s="2">
        <v>903505.75</v>
      </c>
      <c r="J904" s="2">
        <v>122183.45</v>
      </c>
      <c r="K904" s="2">
        <v>277782.40000000002</v>
      </c>
      <c r="L904">
        <v>6.3</v>
      </c>
      <c r="M904">
        <v>65</v>
      </c>
      <c r="N904">
        <v>985</v>
      </c>
      <c r="O904">
        <v>292</v>
      </c>
      <c r="P904" t="s">
        <v>356</v>
      </c>
      <c r="Q904" t="s">
        <v>391</v>
      </c>
      <c r="R904" s="2">
        <f>Table1[[#This Row],[Global_BoxOfficeUSD]]-Table1[[#This Row],[BudgetUSD]]</f>
        <v>398882.42</v>
      </c>
      <c r="S904" s="15">
        <f>Table1[[#This Row],[Profit]]/Table1[[#This Row],[BudgetUSD]]</f>
        <v>0.79045576430245501</v>
      </c>
      <c r="T904" t="str">
        <f>IF(Table1[[#This Row],[ROI]]&gt;100%,"Hit","Flop")</f>
        <v>Flop</v>
      </c>
    </row>
    <row r="905" spans="1:20" x14ac:dyDescent="0.3">
      <c r="A905">
        <v>289</v>
      </c>
      <c r="B905" t="s">
        <v>626</v>
      </c>
      <c r="C905" t="s">
        <v>38</v>
      </c>
      <c r="D905">
        <v>1992</v>
      </c>
      <c r="E905" s="1">
        <v>33874</v>
      </c>
      <c r="F905" t="s">
        <v>152</v>
      </c>
      <c r="G905" s="2">
        <v>252795.25</v>
      </c>
      <c r="H905" s="2">
        <v>604067.09</v>
      </c>
      <c r="I905" s="2">
        <v>878318.98</v>
      </c>
      <c r="J905" s="2">
        <v>65102.080000000002</v>
      </c>
      <c r="K905" s="2">
        <v>330322.8</v>
      </c>
      <c r="L905">
        <v>5.7</v>
      </c>
      <c r="M905">
        <v>58</v>
      </c>
      <c r="N905">
        <v>2974</v>
      </c>
      <c r="O905">
        <v>123</v>
      </c>
      <c r="P905" t="s">
        <v>117</v>
      </c>
      <c r="Q905" t="s">
        <v>627</v>
      </c>
      <c r="R905" s="2">
        <f>Table1[[#This Row],[Global_BoxOfficeUSD]]-Table1[[#This Row],[BudgetUSD]]</f>
        <v>625523.73</v>
      </c>
      <c r="S905" s="15">
        <f>Table1[[#This Row],[Profit]]/Table1[[#This Row],[BudgetUSD]]</f>
        <v>2.4744283367666124</v>
      </c>
      <c r="T905" t="str">
        <f>IF(Table1[[#This Row],[ROI]]&gt;100%,"Hit","Flop")</f>
        <v>Hit</v>
      </c>
    </row>
    <row r="906" spans="1:20" x14ac:dyDescent="0.3">
      <c r="A906">
        <v>274</v>
      </c>
      <c r="B906" t="s">
        <v>605</v>
      </c>
      <c r="C906" t="s">
        <v>67</v>
      </c>
      <c r="D906">
        <v>2022</v>
      </c>
      <c r="E906" s="1">
        <v>44777</v>
      </c>
      <c r="F906" t="s">
        <v>139</v>
      </c>
      <c r="G906" s="2">
        <v>874756.71</v>
      </c>
      <c r="H906" s="2">
        <v>517004.15</v>
      </c>
      <c r="I906" s="2">
        <v>874756.71</v>
      </c>
      <c r="J906" s="2">
        <v>119802.84</v>
      </c>
      <c r="K906" s="2">
        <v>288992.89</v>
      </c>
      <c r="L906">
        <v>6.4</v>
      </c>
      <c r="M906">
        <v>61</v>
      </c>
      <c r="N906">
        <v>2421</v>
      </c>
      <c r="O906">
        <v>50</v>
      </c>
      <c r="P906" t="s">
        <v>606</v>
      </c>
      <c r="Q906" t="s">
        <v>607</v>
      </c>
      <c r="R906" s="2">
        <f>Table1[[#This Row],[Global_BoxOfficeUSD]]-Table1[[#This Row],[BudgetUSD]]</f>
        <v>0</v>
      </c>
      <c r="S906" s="15">
        <f>Table1[[#This Row],[Profit]]/Table1[[#This Row],[BudgetUSD]]</f>
        <v>0</v>
      </c>
      <c r="T906" t="str">
        <f>IF(Table1[[#This Row],[ROI]]&gt;100%,"Hit","Flop")</f>
        <v>Flop</v>
      </c>
    </row>
    <row r="907" spans="1:20" x14ac:dyDescent="0.3">
      <c r="A907">
        <v>883</v>
      </c>
      <c r="B907" t="s">
        <v>1298</v>
      </c>
      <c r="C907" t="s">
        <v>86</v>
      </c>
      <c r="D907">
        <v>2013</v>
      </c>
      <c r="E907" s="1">
        <v>41408</v>
      </c>
      <c r="F907" t="s">
        <v>132</v>
      </c>
      <c r="G907" s="2">
        <v>865669.69</v>
      </c>
      <c r="H907" s="2">
        <v>367473.08</v>
      </c>
      <c r="I907" s="2">
        <v>865669.69</v>
      </c>
      <c r="J907" s="2">
        <v>78305.95</v>
      </c>
      <c r="K907" s="2">
        <v>177772.5</v>
      </c>
      <c r="L907">
        <v>3.9</v>
      </c>
      <c r="M907">
        <v>39</v>
      </c>
      <c r="N907">
        <v>215</v>
      </c>
      <c r="O907">
        <v>3598</v>
      </c>
      <c r="P907" t="s">
        <v>393</v>
      </c>
      <c r="Q907" t="s">
        <v>103</v>
      </c>
      <c r="R907" s="2">
        <f>Table1[[#This Row],[Global_BoxOfficeUSD]]-Table1[[#This Row],[BudgetUSD]]</f>
        <v>0</v>
      </c>
      <c r="S907" s="15">
        <f>Table1[[#This Row],[Profit]]/Table1[[#This Row],[BudgetUSD]]</f>
        <v>0</v>
      </c>
      <c r="T907" t="str">
        <f>IF(Table1[[#This Row],[ROI]]&gt;100%,"Hit","Flop")</f>
        <v>Flop</v>
      </c>
    </row>
    <row r="908" spans="1:20" x14ac:dyDescent="0.3">
      <c r="A908">
        <v>183</v>
      </c>
      <c r="B908" t="s">
        <v>461</v>
      </c>
      <c r="C908" t="s">
        <v>38</v>
      </c>
      <c r="D908">
        <v>2008</v>
      </c>
      <c r="E908" s="1">
        <v>39496</v>
      </c>
      <c r="F908" t="s">
        <v>152</v>
      </c>
      <c r="G908" s="2">
        <v>849586.6</v>
      </c>
      <c r="H908" s="2">
        <v>440161.13</v>
      </c>
      <c r="I908" s="2">
        <v>849586.6</v>
      </c>
      <c r="J908" s="2">
        <v>48409.98</v>
      </c>
      <c r="K908" s="2">
        <v>201974.7</v>
      </c>
      <c r="L908">
        <v>7.2</v>
      </c>
      <c r="M908">
        <v>69</v>
      </c>
      <c r="N908">
        <v>3056</v>
      </c>
      <c r="O908">
        <v>1677</v>
      </c>
      <c r="P908" t="s">
        <v>268</v>
      </c>
      <c r="Q908" t="s">
        <v>462</v>
      </c>
      <c r="R908" s="2">
        <f>Table1[[#This Row],[Global_BoxOfficeUSD]]-Table1[[#This Row],[BudgetUSD]]</f>
        <v>0</v>
      </c>
      <c r="S908" s="15">
        <f>Table1[[#This Row],[Profit]]/Table1[[#This Row],[BudgetUSD]]</f>
        <v>0</v>
      </c>
      <c r="T908" t="str">
        <f>IF(Table1[[#This Row],[ROI]]&gt;100%,"Hit","Flop")</f>
        <v>Flop</v>
      </c>
    </row>
    <row r="909" spans="1:20" x14ac:dyDescent="0.3">
      <c r="A909">
        <v>529</v>
      </c>
      <c r="B909" t="s">
        <v>937</v>
      </c>
      <c r="C909" t="s">
        <v>67</v>
      </c>
      <c r="D909">
        <v>1962</v>
      </c>
      <c r="E909" s="1">
        <v>22934</v>
      </c>
      <c r="F909" t="s">
        <v>23</v>
      </c>
      <c r="G909" s="2">
        <v>182488.71</v>
      </c>
      <c r="H909" s="2">
        <v>382993.05</v>
      </c>
      <c r="I909" s="2">
        <v>840581.04</v>
      </c>
      <c r="J909" s="2">
        <v>105880.63</v>
      </c>
      <c r="K909" s="2">
        <v>218311.09</v>
      </c>
      <c r="L909">
        <v>5.0999999999999996</v>
      </c>
      <c r="M909">
        <v>39</v>
      </c>
      <c r="N909">
        <v>3091</v>
      </c>
      <c r="O909">
        <v>392</v>
      </c>
      <c r="P909" t="s">
        <v>695</v>
      </c>
      <c r="Q909" t="s">
        <v>916</v>
      </c>
      <c r="R909" s="2">
        <f>Table1[[#This Row],[Global_BoxOfficeUSD]]-Table1[[#This Row],[BudgetUSD]]</f>
        <v>658092.33000000007</v>
      </c>
      <c r="S909" s="15">
        <f>Table1[[#This Row],[Profit]]/Table1[[#This Row],[BudgetUSD]]</f>
        <v>3.6062084607864242</v>
      </c>
      <c r="T909" t="str">
        <f>IF(Table1[[#This Row],[ROI]]&gt;100%,"Hit","Flop")</f>
        <v>Hit</v>
      </c>
    </row>
    <row r="910" spans="1:20" x14ac:dyDescent="0.3">
      <c r="A910">
        <v>530</v>
      </c>
      <c r="B910" t="s">
        <v>938</v>
      </c>
      <c r="C910" t="s">
        <v>77</v>
      </c>
      <c r="D910">
        <v>1971</v>
      </c>
      <c r="E910" s="1">
        <v>26088</v>
      </c>
      <c r="F910" t="s">
        <v>318</v>
      </c>
      <c r="G910" s="2">
        <v>837611.24</v>
      </c>
      <c r="H910" s="2">
        <v>584851.26</v>
      </c>
      <c r="I910" s="2">
        <v>837611.24</v>
      </c>
      <c r="J910" s="2">
        <v>83805.61</v>
      </c>
      <c r="K910" s="2">
        <v>324917.27</v>
      </c>
      <c r="L910">
        <v>9.4</v>
      </c>
      <c r="M910">
        <v>77</v>
      </c>
      <c r="N910">
        <v>4056</v>
      </c>
      <c r="O910">
        <v>1927</v>
      </c>
      <c r="P910" t="s">
        <v>80</v>
      </c>
      <c r="Q910" t="s">
        <v>590</v>
      </c>
      <c r="R910" s="2">
        <f>Table1[[#This Row],[Global_BoxOfficeUSD]]-Table1[[#This Row],[BudgetUSD]]</f>
        <v>0</v>
      </c>
      <c r="S910" s="15">
        <f>Table1[[#This Row],[Profit]]/Table1[[#This Row],[BudgetUSD]]</f>
        <v>0</v>
      </c>
      <c r="T910" t="str">
        <f>IF(Table1[[#This Row],[ROI]]&gt;100%,"Hit","Flop")</f>
        <v>Flop</v>
      </c>
    </row>
    <row r="911" spans="1:20" x14ac:dyDescent="0.3">
      <c r="A911">
        <v>413</v>
      </c>
      <c r="B911" t="s">
        <v>793</v>
      </c>
      <c r="C911" t="s">
        <v>38</v>
      </c>
      <c r="D911">
        <v>1977</v>
      </c>
      <c r="E911" s="1">
        <v>28132</v>
      </c>
      <c r="F911" t="s">
        <v>23</v>
      </c>
      <c r="G911" s="2">
        <v>835043.72</v>
      </c>
      <c r="H911" s="2">
        <v>513708.92</v>
      </c>
      <c r="I911" s="2">
        <v>835043.72</v>
      </c>
      <c r="J911" s="2">
        <v>144362.01</v>
      </c>
      <c r="K911" s="2">
        <v>208136.74</v>
      </c>
      <c r="L911">
        <v>7.4</v>
      </c>
      <c r="M911">
        <v>77</v>
      </c>
      <c r="N911">
        <v>1146</v>
      </c>
      <c r="O911">
        <v>342</v>
      </c>
      <c r="P911" t="s">
        <v>794</v>
      </c>
      <c r="Q911" t="s">
        <v>25</v>
      </c>
      <c r="R911" s="2">
        <f>Table1[[#This Row],[Global_BoxOfficeUSD]]-Table1[[#This Row],[BudgetUSD]]</f>
        <v>0</v>
      </c>
      <c r="S911" s="15">
        <f>Table1[[#This Row],[Profit]]/Table1[[#This Row],[BudgetUSD]]</f>
        <v>0</v>
      </c>
      <c r="T911" t="str">
        <f>IF(Table1[[#This Row],[ROI]]&gt;100%,"Hit","Flop")</f>
        <v>Flop</v>
      </c>
    </row>
    <row r="912" spans="1:20" x14ac:dyDescent="0.3">
      <c r="A912">
        <v>143</v>
      </c>
      <c r="B912" t="s">
        <v>374</v>
      </c>
      <c r="C912" t="s">
        <v>18</v>
      </c>
      <c r="D912">
        <v>2001</v>
      </c>
      <c r="E912" s="1">
        <v>37174</v>
      </c>
      <c r="F912" t="s">
        <v>318</v>
      </c>
      <c r="G912" s="2">
        <v>397591.44</v>
      </c>
      <c r="H912" s="2">
        <v>496473.9</v>
      </c>
      <c r="I912" s="2">
        <v>834291.71</v>
      </c>
      <c r="J912" s="2">
        <v>64987.67</v>
      </c>
      <c r="K912" s="2">
        <v>263571.68</v>
      </c>
      <c r="L912">
        <v>5.5</v>
      </c>
      <c r="M912">
        <v>55</v>
      </c>
      <c r="N912">
        <v>4277</v>
      </c>
      <c r="O912">
        <v>50</v>
      </c>
      <c r="P912" t="s">
        <v>221</v>
      </c>
      <c r="Q912" t="s">
        <v>375</v>
      </c>
      <c r="R912" s="2">
        <f>Table1[[#This Row],[Global_BoxOfficeUSD]]-Table1[[#This Row],[BudgetUSD]]</f>
        <v>436700.26999999996</v>
      </c>
      <c r="S912" s="15">
        <f>Table1[[#This Row],[Profit]]/Table1[[#This Row],[BudgetUSD]]</f>
        <v>1.0983643661946041</v>
      </c>
      <c r="T912" t="str">
        <f>IF(Table1[[#This Row],[ROI]]&gt;100%,"Hit","Flop")</f>
        <v>Hit</v>
      </c>
    </row>
    <row r="913" spans="1:20" x14ac:dyDescent="0.3">
      <c r="A913">
        <v>368</v>
      </c>
      <c r="B913" s="14" t="s">
        <v>732</v>
      </c>
      <c r="C913" t="s">
        <v>38</v>
      </c>
      <c r="D913">
        <v>2019</v>
      </c>
      <c r="E913" s="1">
        <v>43558</v>
      </c>
      <c r="F913" t="s">
        <v>23</v>
      </c>
      <c r="G913" s="2">
        <v>418392.47</v>
      </c>
      <c r="H913" s="2">
        <v>339046.86</v>
      </c>
      <c r="I913" s="2">
        <v>826236.23</v>
      </c>
      <c r="J913" s="2">
        <v>76511.899999999994</v>
      </c>
      <c r="K913" s="2">
        <v>161427.94</v>
      </c>
      <c r="L913">
        <v>2.9</v>
      </c>
      <c r="M913">
        <v>40</v>
      </c>
      <c r="N913">
        <v>4606</v>
      </c>
      <c r="O913">
        <v>102</v>
      </c>
      <c r="P913" t="s">
        <v>385</v>
      </c>
      <c r="Q913" t="s">
        <v>733</v>
      </c>
      <c r="R913" s="2">
        <f>Table1[[#This Row],[Global_BoxOfficeUSD]]-Table1[[#This Row],[BudgetUSD]]</f>
        <v>407843.76</v>
      </c>
      <c r="S913" s="15">
        <f>Table1[[#This Row],[Profit]]/Table1[[#This Row],[BudgetUSD]]</f>
        <v>0.97478752425922011</v>
      </c>
      <c r="T913" t="str">
        <f>IF(Table1[[#This Row],[ROI]]&gt;100%,"Hit","Flop")</f>
        <v>Flop</v>
      </c>
    </row>
    <row r="914" spans="1:20" x14ac:dyDescent="0.3">
      <c r="A914">
        <v>245</v>
      </c>
      <c r="B914" t="s">
        <v>561</v>
      </c>
      <c r="C914" t="s">
        <v>38</v>
      </c>
      <c r="D914">
        <v>1991</v>
      </c>
      <c r="E914" s="1">
        <v>33269</v>
      </c>
      <c r="F914" t="s">
        <v>19</v>
      </c>
      <c r="G914" s="2">
        <v>180352.89</v>
      </c>
      <c r="H914" s="2">
        <v>571081.27</v>
      </c>
      <c r="I914" s="2">
        <v>821798.37</v>
      </c>
      <c r="J914" s="2">
        <v>79046.210000000006</v>
      </c>
      <c r="K914" s="2">
        <v>247156.86</v>
      </c>
      <c r="L914">
        <v>4.9000000000000004</v>
      </c>
      <c r="M914">
        <v>57</v>
      </c>
      <c r="N914">
        <v>293890</v>
      </c>
      <c r="O914">
        <v>433</v>
      </c>
      <c r="P914" t="s">
        <v>436</v>
      </c>
      <c r="Q914" t="s">
        <v>562</v>
      </c>
      <c r="R914" s="2">
        <f>Table1[[#This Row],[Global_BoxOfficeUSD]]-Table1[[#This Row],[BudgetUSD]]</f>
        <v>641445.48</v>
      </c>
      <c r="S914" s="15">
        <f>Table1[[#This Row],[Profit]]/Table1[[#This Row],[BudgetUSD]]</f>
        <v>3.5566132597043492</v>
      </c>
      <c r="T914" t="str">
        <f>IF(Table1[[#This Row],[ROI]]&gt;100%,"Hit","Flop")</f>
        <v>Hit</v>
      </c>
    </row>
    <row r="915" spans="1:20" x14ac:dyDescent="0.3">
      <c r="A915">
        <v>65</v>
      </c>
      <c r="B915" t="s">
        <v>207</v>
      </c>
      <c r="C915" t="s">
        <v>86</v>
      </c>
      <c r="D915">
        <v>2019</v>
      </c>
      <c r="E915" s="1">
        <v>43702</v>
      </c>
      <c r="F915" t="s">
        <v>23</v>
      </c>
      <c r="G915" s="2">
        <v>821495.73</v>
      </c>
      <c r="H915" s="2">
        <v>377276.53</v>
      </c>
      <c r="I915" s="2">
        <v>821495.73</v>
      </c>
      <c r="J915" s="2">
        <v>93369.14</v>
      </c>
      <c r="K915" s="2">
        <v>155469.37</v>
      </c>
      <c r="L915">
        <v>6.2</v>
      </c>
      <c r="M915">
        <v>58</v>
      </c>
      <c r="N915">
        <v>106</v>
      </c>
      <c r="O915">
        <v>4205</v>
      </c>
      <c r="P915" t="s">
        <v>208</v>
      </c>
      <c r="Q915" t="s">
        <v>121</v>
      </c>
      <c r="R915" s="2">
        <f>Table1[[#This Row],[Global_BoxOfficeUSD]]-Table1[[#This Row],[BudgetUSD]]</f>
        <v>0</v>
      </c>
      <c r="S915" s="15">
        <f>Table1[[#This Row],[Profit]]/Table1[[#This Row],[BudgetUSD]]</f>
        <v>0</v>
      </c>
      <c r="T915" t="str">
        <f>IF(Table1[[#This Row],[ROI]]&gt;100%,"Hit","Flop")</f>
        <v>Flop</v>
      </c>
    </row>
    <row r="916" spans="1:20" x14ac:dyDescent="0.3">
      <c r="A916">
        <v>598</v>
      </c>
      <c r="B916" t="s">
        <v>1016</v>
      </c>
      <c r="C916" t="s">
        <v>38</v>
      </c>
      <c r="D916">
        <v>1997</v>
      </c>
      <c r="E916" s="1">
        <v>35743</v>
      </c>
      <c r="F916" t="s">
        <v>23</v>
      </c>
      <c r="G916" s="2">
        <v>492957.92</v>
      </c>
      <c r="H916" s="2">
        <v>350987.22</v>
      </c>
      <c r="I916" s="2">
        <v>816009.96</v>
      </c>
      <c r="J916" s="2">
        <v>36367.18</v>
      </c>
      <c r="K916" s="2">
        <v>155043.65</v>
      </c>
      <c r="L916">
        <v>7.3</v>
      </c>
      <c r="M916">
        <v>76</v>
      </c>
      <c r="N916">
        <v>3936</v>
      </c>
      <c r="O916">
        <v>643</v>
      </c>
      <c r="P916" t="s">
        <v>49</v>
      </c>
      <c r="Q916" t="s">
        <v>228</v>
      </c>
      <c r="R916" s="2">
        <f>Table1[[#This Row],[Global_BoxOfficeUSD]]-Table1[[#This Row],[BudgetUSD]]</f>
        <v>323052.03999999998</v>
      </c>
      <c r="S916" s="15">
        <f>Table1[[#This Row],[Profit]]/Table1[[#This Row],[BudgetUSD]]</f>
        <v>0.65533390760817878</v>
      </c>
      <c r="T916" t="str">
        <f>IF(Table1[[#This Row],[ROI]]&gt;100%,"Hit","Flop")</f>
        <v>Flop</v>
      </c>
    </row>
    <row r="917" spans="1:20" x14ac:dyDescent="0.3">
      <c r="A917">
        <v>378</v>
      </c>
      <c r="B917" t="s">
        <v>746</v>
      </c>
      <c r="C917" t="s">
        <v>18</v>
      </c>
      <c r="D917">
        <v>2017</v>
      </c>
      <c r="E917" s="1">
        <v>42777</v>
      </c>
      <c r="F917" t="s">
        <v>23</v>
      </c>
      <c r="G917" s="2">
        <v>493873.06</v>
      </c>
      <c r="H917" s="2">
        <v>327949.98</v>
      </c>
      <c r="I917" s="2">
        <v>787626.4</v>
      </c>
      <c r="J917" s="2">
        <v>94108.03</v>
      </c>
      <c r="K917" s="2">
        <v>192702.01</v>
      </c>
      <c r="L917">
        <v>3.8</v>
      </c>
      <c r="M917">
        <v>36</v>
      </c>
      <c r="N917">
        <v>14231</v>
      </c>
      <c r="O917">
        <v>1008</v>
      </c>
      <c r="P917" t="s">
        <v>490</v>
      </c>
      <c r="Q917" t="s">
        <v>747</v>
      </c>
      <c r="R917" s="2">
        <f>Table1[[#This Row],[Global_BoxOfficeUSD]]-Table1[[#This Row],[BudgetUSD]]</f>
        <v>293753.34000000003</v>
      </c>
      <c r="S917" s="15">
        <f>Table1[[#This Row],[Profit]]/Table1[[#This Row],[BudgetUSD]]</f>
        <v>0.5947952293652139</v>
      </c>
      <c r="T917" t="str">
        <f>IF(Table1[[#This Row],[ROI]]&gt;100%,"Hit","Flop")</f>
        <v>Flop</v>
      </c>
    </row>
    <row r="918" spans="1:20" x14ac:dyDescent="0.3">
      <c r="A918">
        <v>855</v>
      </c>
      <c r="B918" t="s">
        <v>1272</v>
      </c>
      <c r="C918" t="s">
        <v>38</v>
      </c>
      <c r="D918">
        <v>1989</v>
      </c>
      <c r="E918" s="1">
        <v>32714</v>
      </c>
      <c r="F918" t="s">
        <v>34</v>
      </c>
      <c r="G918" s="2">
        <v>186986.66</v>
      </c>
      <c r="H918" s="2">
        <v>541717.25</v>
      </c>
      <c r="I918" s="2">
        <v>785972.52</v>
      </c>
      <c r="J918" s="2">
        <v>112196.93</v>
      </c>
      <c r="K918" s="2">
        <v>264467.12</v>
      </c>
      <c r="L918">
        <v>7</v>
      </c>
      <c r="M918">
        <v>63</v>
      </c>
      <c r="N918">
        <v>2600</v>
      </c>
      <c r="O918">
        <v>4080</v>
      </c>
      <c r="P918" t="s">
        <v>111</v>
      </c>
      <c r="Q918" t="s">
        <v>806</v>
      </c>
      <c r="R918" s="2">
        <f>Table1[[#This Row],[Global_BoxOfficeUSD]]-Table1[[#This Row],[BudgetUSD]]</f>
        <v>598985.86</v>
      </c>
      <c r="S918" s="15">
        <f>Table1[[#This Row],[Profit]]/Table1[[#This Row],[BudgetUSD]]</f>
        <v>3.2033614590473993</v>
      </c>
      <c r="T918" t="str">
        <f>IF(Table1[[#This Row],[ROI]]&gt;100%,"Hit","Flop")</f>
        <v>Hit</v>
      </c>
    </row>
    <row r="919" spans="1:20" x14ac:dyDescent="0.3">
      <c r="A919">
        <v>264</v>
      </c>
      <c r="B919" s="14" t="s">
        <v>588</v>
      </c>
      <c r="C919" t="s">
        <v>18</v>
      </c>
      <c r="D919">
        <v>2005</v>
      </c>
      <c r="E919" s="1">
        <v>38670</v>
      </c>
      <c r="F919" t="s">
        <v>139</v>
      </c>
      <c r="G919" s="2">
        <v>235899.61</v>
      </c>
      <c r="H919" s="2">
        <v>504669.99</v>
      </c>
      <c r="I919" s="2">
        <v>770498.08</v>
      </c>
      <c r="J919" s="2">
        <v>60079.25</v>
      </c>
      <c r="K919" s="2">
        <v>226078</v>
      </c>
      <c r="L919">
        <v>2.8</v>
      </c>
      <c r="M919">
        <v>28</v>
      </c>
      <c r="N919">
        <v>6587</v>
      </c>
      <c r="O919">
        <v>50</v>
      </c>
      <c r="P919" t="s">
        <v>200</v>
      </c>
      <c r="Q919" t="s">
        <v>497</v>
      </c>
      <c r="R919" s="2">
        <f>Table1[[#This Row],[Global_BoxOfficeUSD]]-Table1[[#This Row],[BudgetUSD]]</f>
        <v>534598.47</v>
      </c>
      <c r="S919" s="15">
        <f>Table1[[#This Row],[Profit]]/Table1[[#This Row],[BudgetUSD]]</f>
        <v>2.2662117584679349</v>
      </c>
      <c r="T919" t="str">
        <f>IF(Table1[[#This Row],[ROI]]&gt;100%,"Hit","Flop")</f>
        <v>Hit</v>
      </c>
    </row>
    <row r="920" spans="1:20" x14ac:dyDescent="0.3">
      <c r="A920">
        <v>359</v>
      </c>
      <c r="B920" t="s">
        <v>717</v>
      </c>
      <c r="C920" t="s">
        <v>38</v>
      </c>
      <c r="D920">
        <v>1970</v>
      </c>
      <c r="E920" s="1">
        <v>25922</v>
      </c>
      <c r="F920" t="s">
        <v>23</v>
      </c>
      <c r="G920" s="2">
        <v>483104.47</v>
      </c>
      <c r="H920" s="2">
        <v>417782.74</v>
      </c>
      <c r="I920" s="2">
        <v>734891.33</v>
      </c>
      <c r="J920" s="2">
        <v>124573.9</v>
      </c>
      <c r="K920" s="2">
        <v>177928.24</v>
      </c>
      <c r="L920">
        <v>4.2</v>
      </c>
      <c r="M920">
        <v>29</v>
      </c>
      <c r="N920">
        <v>767</v>
      </c>
      <c r="O920">
        <v>847</v>
      </c>
      <c r="P920" t="s">
        <v>299</v>
      </c>
      <c r="Q920" t="s">
        <v>718</v>
      </c>
      <c r="R920" s="2">
        <f>Table1[[#This Row],[Global_BoxOfficeUSD]]-Table1[[#This Row],[BudgetUSD]]</f>
        <v>251786.86</v>
      </c>
      <c r="S920" s="15">
        <f>Table1[[#This Row],[Profit]]/Table1[[#This Row],[BudgetUSD]]</f>
        <v>0.5211851175792267</v>
      </c>
      <c r="T920" t="str">
        <f>IF(Table1[[#This Row],[ROI]]&gt;100%,"Hit","Flop")</f>
        <v>Flop</v>
      </c>
    </row>
    <row r="921" spans="1:20" x14ac:dyDescent="0.3">
      <c r="A921">
        <v>926</v>
      </c>
      <c r="B921" t="s">
        <v>1141</v>
      </c>
      <c r="C921" t="s">
        <v>67</v>
      </c>
      <c r="D921">
        <v>2007</v>
      </c>
      <c r="E921" s="1">
        <v>39442</v>
      </c>
      <c r="F921" t="s">
        <v>23</v>
      </c>
      <c r="G921" s="2">
        <v>734770.77</v>
      </c>
      <c r="H921" s="2">
        <v>418605.7</v>
      </c>
      <c r="I921" s="2">
        <v>734770.77</v>
      </c>
      <c r="J921" s="2">
        <v>92034.38</v>
      </c>
      <c r="K921" s="2">
        <v>246070.46</v>
      </c>
      <c r="L921">
        <v>4.2</v>
      </c>
      <c r="M921">
        <v>46</v>
      </c>
      <c r="N921">
        <v>28819</v>
      </c>
      <c r="O921">
        <v>355</v>
      </c>
      <c r="P921" t="s">
        <v>149</v>
      </c>
      <c r="Q921" t="s">
        <v>640</v>
      </c>
      <c r="R921" s="2">
        <f>Table1[[#This Row],[Global_BoxOfficeUSD]]-Table1[[#This Row],[BudgetUSD]]</f>
        <v>0</v>
      </c>
      <c r="S921" s="15">
        <f>Table1[[#This Row],[Profit]]/Table1[[#This Row],[BudgetUSD]]</f>
        <v>0</v>
      </c>
      <c r="T921" t="str">
        <f>IF(Table1[[#This Row],[ROI]]&gt;100%,"Hit","Flop")</f>
        <v>Flop</v>
      </c>
    </row>
    <row r="922" spans="1:20" x14ac:dyDescent="0.3">
      <c r="A922">
        <v>168</v>
      </c>
      <c r="B922" t="s">
        <v>432</v>
      </c>
      <c r="C922" t="s">
        <v>18</v>
      </c>
      <c r="D922">
        <v>1959</v>
      </c>
      <c r="E922" s="1">
        <v>21647</v>
      </c>
      <c r="F922" t="s">
        <v>23</v>
      </c>
      <c r="G922" s="2">
        <v>479045.41</v>
      </c>
      <c r="H922" s="2">
        <v>402800.24</v>
      </c>
      <c r="I922" s="2">
        <v>712140.52</v>
      </c>
      <c r="J922" s="2">
        <v>79990.02</v>
      </c>
      <c r="K922" s="2">
        <v>165545.87</v>
      </c>
      <c r="L922">
        <v>6.4</v>
      </c>
      <c r="M922">
        <v>67</v>
      </c>
      <c r="N922">
        <v>924</v>
      </c>
      <c r="O922">
        <v>2017</v>
      </c>
      <c r="P922" t="s">
        <v>368</v>
      </c>
      <c r="Q922" t="s">
        <v>285</v>
      </c>
      <c r="R922" s="2">
        <f>Table1[[#This Row],[Global_BoxOfficeUSD]]-Table1[[#This Row],[BudgetUSD]]</f>
        <v>233095.11000000004</v>
      </c>
      <c r="S922" s="15">
        <f>Table1[[#This Row],[Profit]]/Table1[[#This Row],[BudgetUSD]]</f>
        <v>0.48658249329640807</v>
      </c>
      <c r="T922" t="str">
        <f>IF(Table1[[#This Row],[ROI]]&gt;100%,"Hit","Flop")</f>
        <v>Flop</v>
      </c>
    </row>
    <row r="923" spans="1:20" x14ac:dyDescent="0.3">
      <c r="A923">
        <v>166</v>
      </c>
      <c r="B923" t="s">
        <v>426</v>
      </c>
      <c r="C923" t="s">
        <v>38</v>
      </c>
      <c r="D923">
        <v>1970</v>
      </c>
      <c r="E923" s="1">
        <v>25713</v>
      </c>
      <c r="F923" t="s">
        <v>23</v>
      </c>
      <c r="G923" s="2">
        <v>480822.46</v>
      </c>
      <c r="H923" s="2">
        <v>310923.84000000003</v>
      </c>
      <c r="I923" s="2">
        <v>693224.68</v>
      </c>
      <c r="J923" s="2">
        <v>80945.25</v>
      </c>
      <c r="K923" s="2">
        <v>128293.72</v>
      </c>
      <c r="L923">
        <v>7.2</v>
      </c>
      <c r="M923">
        <v>55</v>
      </c>
      <c r="N923">
        <v>1089</v>
      </c>
      <c r="O923">
        <v>438</v>
      </c>
      <c r="P923" t="s">
        <v>427</v>
      </c>
      <c r="Q923" t="s">
        <v>428</v>
      </c>
      <c r="R923" s="2">
        <f>Table1[[#This Row],[Global_BoxOfficeUSD]]-Table1[[#This Row],[BudgetUSD]]</f>
        <v>212402.22000000003</v>
      </c>
      <c r="S923" s="15">
        <f>Table1[[#This Row],[Profit]]/Table1[[#This Row],[BudgetUSD]]</f>
        <v>0.44174770870728464</v>
      </c>
      <c r="T923" t="str">
        <f>IF(Table1[[#This Row],[ROI]]&gt;100%,"Hit","Flop")</f>
        <v>Flop</v>
      </c>
    </row>
    <row r="924" spans="1:20" x14ac:dyDescent="0.3">
      <c r="A924">
        <v>736</v>
      </c>
      <c r="B924" t="s">
        <v>1153</v>
      </c>
      <c r="C924" t="s">
        <v>38</v>
      </c>
      <c r="D924">
        <v>1997</v>
      </c>
      <c r="E924" s="1">
        <v>35527</v>
      </c>
      <c r="F924" t="s">
        <v>23</v>
      </c>
      <c r="G924" s="2">
        <v>271015.36</v>
      </c>
      <c r="H924" s="2">
        <v>344786.68</v>
      </c>
      <c r="I924" s="2">
        <v>692450.91</v>
      </c>
      <c r="J924" s="2">
        <v>59636.800000000003</v>
      </c>
      <c r="K924" s="2">
        <v>162549.60999999999</v>
      </c>
      <c r="L924">
        <v>7.2</v>
      </c>
      <c r="M924">
        <v>70</v>
      </c>
      <c r="N924">
        <v>2966</v>
      </c>
      <c r="O924">
        <v>50</v>
      </c>
      <c r="P924" t="s">
        <v>658</v>
      </c>
      <c r="Q924" t="s">
        <v>836</v>
      </c>
      <c r="R924" s="2">
        <f>Table1[[#This Row],[Global_BoxOfficeUSD]]-Table1[[#This Row],[BudgetUSD]]</f>
        <v>421435.55000000005</v>
      </c>
      <c r="S924" s="15">
        <f>Table1[[#This Row],[Profit]]/Table1[[#This Row],[BudgetUSD]]</f>
        <v>1.5550245934400178</v>
      </c>
      <c r="T924" t="str">
        <f>IF(Table1[[#This Row],[ROI]]&gt;100%,"Hit","Flop")</f>
        <v>Hit</v>
      </c>
    </row>
    <row r="925" spans="1:20" x14ac:dyDescent="0.3">
      <c r="A925">
        <v>191</v>
      </c>
      <c r="B925" t="s">
        <v>471</v>
      </c>
      <c r="C925" t="s">
        <v>38</v>
      </c>
      <c r="D925">
        <v>2020</v>
      </c>
      <c r="E925" s="1">
        <v>43929</v>
      </c>
      <c r="F925" t="s">
        <v>23</v>
      </c>
      <c r="G925" s="2">
        <v>680047.43</v>
      </c>
      <c r="H925" s="2">
        <v>331992.92</v>
      </c>
      <c r="I925" s="2">
        <v>680047.43</v>
      </c>
      <c r="J925" s="2">
        <v>73221.63</v>
      </c>
      <c r="K925" s="2">
        <v>146564.42000000001</v>
      </c>
      <c r="L925">
        <v>8.3000000000000007</v>
      </c>
      <c r="M925">
        <v>74</v>
      </c>
      <c r="N925">
        <v>2519</v>
      </c>
      <c r="O925">
        <v>313</v>
      </c>
      <c r="P925" t="s">
        <v>472</v>
      </c>
      <c r="Q925" t="s">
        <v>473</v>
      </c>
      <c r="R925" s="2">
        <f>Table1[[#This Row],[Global_BoxOfficeUSD]]-Table1[[#This Row],[BudgetUSD]]</f>
        <v>0</v>
      </c>
      <c r="S925" s="15">
        <f>Table1[[#This Row],[Profit]]/Table1[[#This Row],[BudgetUSD]]</f>
        <v>0</v>
      </c>
      <c r="T925" t="str">
        <f>IF(Table1[[#This Row],[ROI]]&gt;100%,"Hit","Flop")</f>
        <v>Flop</v>
      </c>
    </row>
    <row r="926" spans="1:20" x14ac:dyDescent="0.3">
      <c r="A926">
        <v>956</v>
      </c>
      <c r="B926" t="s">
        <v>1365</v>
      </c>
      <c r="C926" t="s">
        <v>18</v>
      </c>
      <c r="D926">
        <v>2014</v>
      </c>
      <c r="E926" s="1">
        <v>41777</v>
      </c>
      <c r="F926" t="s">
        <v>23</v>
      </c>
      <c r="G926" s="2">
        <v>474060.81</v>
      </c>
      <c r="H926" s="2">
        <v>344552.86</v>
      </c>
      <c r="I926" s="2">
        <v>676868.27</v>
      </c>
      <c r="J926" s="2">
        <v>38499.370000000003</v>
      </c>
      <c r="K926" s="2">
        <v>147149.82999999999</v>
      </c>
      <c r="L926">
        <v>4.4000000000000004</v>
      </c>
      <c r="M926">
        <v>36</v>
      </c>
      <c r="N926">
        <v>1292</v>
      </c>
      <c r="O926">
        <v>147</v>
      </c>
      <c r="P926" t="s">
        <v>645</v>
      </c>
      <c r="Q926" t="s">
        <v>265</v>
      </c>
      <c r="R926" s="2">
        <f>Table1[[#This Row],[Global_BoxOfficeUSD]]-Table1[[#This Row],[BudgetUSD]]</f>
        <v>202807.46000000002</v>
      </c>
      <c r="S926" s="15">
        <f>Table1[[#This Row],[Profit]]/Table1[[#This Row],[BudgetUSD]]</f>
        <v>0.42780895556416071</v>
      </c>
      <c r="T926" t="str">
        <f>IF(Table1[[#This Row],[ROI]]&gt;100%,"Hit","Flop")</f>
        <v>Flop</v>
      </c>
    </row>
    <row r="927" spans="1:20" x14ac:dyDescent="0.3">
      <c r="A927">
        <v>758</v>
      </c>
      <c r="B927" t="s">
        <v>1179</v>
      </c>
      <c r="C927" t="s">
        <v>77</v>
      </c>
      <c r="D927">
        <v>1976</v>
      </c>
      <c r="E927" s="1">
        <v>27935</v>
      </c>
      <c r="F927" t="s">
        <v>139</v>
      </c>
      <c r="G927" s="2">
        <v>200594.57</v>
      </c>
      <c r="H927" s="2">
        <v>283264.15999999997</v>
      </c>
      <c r="I927" s="2">
        <v>653676.03</v>
      </c>
      <c r="J927" s="2">
        <v>42639.23</v>
      </c>
      <c r="K927" s="2">
        <v>123221.43</v>
      </c>
      <c r="L927">
        <v>8.8000000000000007</v>
      </c>
      <c r="M927">
        <v>93</v>
      </c>
      <c r="N927">
        <v>6135</v>
      </c>
      <c r="O927">
        <v>11693</v>
      </c>
      <c r="P927" t="s">
        <v>302</v>
      </c>
      <c r="Q927" t="s">
        <v>253</v>
      </c>
      <c r="R927" s="2">
        <f>Table1[[#This Row],[Global_BoxOfficeUSD]]-Table1[[#This Row],[BudgetUSD]]</f>
        <v>453081.46</v>
      </c>
      <c r="S927" s="15">
        <f>Table1[[#This Row],[Profit]]/Table1[[#This Row],[BudgetUSD]]</f>
        <v>2.2586925458650251</v>
      </c>
      <c r="T927" t="str">
        <f>IF(Table1[[#This Row],[ROI]]&gt;100%,"Hit","Flop")</f>
        <v>Hit</v>
      </c>
    </row>
    <row r="928" spans="1:20" x14ac:dyDescent="0.3">
      <c r="A928">
        <v>690</v>
      </c>
      <c r="B928" t="s">
        <v>1109</v>
      </c>
      <c r="C928" t="s">
        <v>18</v>
      </c>
      <c r="D928">
        <v>1993</v>
      </c>
      <c r="E928" s="1">
        <v>34002</v>
      </c>
      <c r="F928" t="s">
        <v>23</v>
      </c>
      <c r="G928" s="2">
        <v>377549.11</v>
      </c>
      <c r="H928" s="2">
        <v>262742.49</v>
      </c>
      <c r="I928" s="2">
        <v>649692.4</v>
      </c>
      <c r="J928" s="2">
        <v>74429.13</v>
      </c>
      <c r="K928" s="2">
        <v>150472.09</v>
      </c>
      <c r="L928">
        <v>6.1</v>
      </c>
      <c r="M928">
        <v>60</v>
      </c>
      <c r="N928">
        <v>2576</v>
      </c>
      <c r="O928">
        <v>8332</v>
      </c>
      <c r="P928" t="s">
        <v>39</v>
      </c>
      <c r="Q928" t="s">
        <v>1082</v>
      </c>
      <c r="R928" s="2">
        <f>Table1[[#This Row],[Global_BoxOfficeUSD]]-Table1[[#This Row],[BudgetUSD]]</f>
        <v>272143.29000000004</v>
      </c>
      <c r="S928" s="15">
        <f>Table1[[#This Row],[Profit]]/Table1[[#This Row],[BudgetUSD]]</f>
        <v>0.72081560462425687</v>
      </c>
      <c r="T928" t="str">
        <f>IF(Table1[[#This Row],[ROI]]&gt;100%,"Hit","Flop")</f>
        <v>Flop</v>
      </c>
    </row>
    <row r="929" spans="1:20" x14ac:dyDescent="0.3">
      <c r="A929">
        <v>44</v>
      </c>
      <c r="B929" t="s">
        <v>151</v>
      </c>
      <c r="C929" t="s">
        <v>45</v>
      </c>
      <c r="D929">
        <v>2019</v>
      </c>
      <c r="E929" s="1">
        <v>43685</v>
      </c>
      <c r="F929" t="s">
        <v>152</v>
      </c>
      <c r="G929" s="2">
        <v>181638.25</v>
      </c>
      <c r="H929" s="2">
        <v>444091.3</v>
      </c>
      <c r="I929" s="2">
        <v>647412.81999999995</v>
      </c>
      <c r="J929" s="2">
        <v>115173.15</v>
      </c>
      <c r="K929" s="2">
        <v>246810.43</v>
      </c>
      <c r="L929">
        <v>8.1999999999999993</v>
      </c>
      <c r="M929">
        <v>100</v>
      </c>
      <c r="N929">
        <v>167</v>
      </c>
      <c r="O929">
        <v>61</v>
      </c>
      <c r="P929" t="s">
        <v>153</v>
      </c>
      <c r="Q929" t="s">
        <v>154</v>
      </c>
      <c r="R929" s="2">
        <f>Table1[[#This Row],[Global_BoxOfficeUSD]]-Table1[[#This Row],[BudgetUSD]]</f>
        <v>465774.56999999995</v>
      </c>
      <c r="S929" s="15">
        <f>Table1[[#This Row],[Profit]]/Table1[[#This Row],[BudgetUSD]]</f>
        <v>2.5642978282382698</v>
      </c>
      <c r="T929" t="str">
        <f>IF(Table1[[#This Row],[ROI]]&gt;100%,"Hit","Flop")</f>
        <v>Hit</v>
      </c>
    </row>
    <row r="930" spans="1:20" x14ac:dyDescent="0.3">
      <c r="A930">
        <v>431</v>
      </c>
      <c r="B930" t="s">
        <v>815</v>
      </c>
      <c r="C930" t="s">
        <v>18</v>
      </c>
      <c r="D930">
        <v>2008</v>
      </c>
      <c r="E930" s="1">
        <v>39618</v>
      </c>
      <c r="F930" t="s">
        <v>642</v>
      </c>
      <c r="G930" s="2">
        <v>402671.14</v>
      </c>
      <c r="H930" s="2">
        <v>312672.59999999998</v>
      </c>
      <c r="I930" s="2">
        <v>644711.22</v>
      </c>
      <c r="J930" s="2">
        <v>47689.279999999999</v>
      </c>
      <c r="K930" s="2">
        <v>159348.01999999999</v>
      </c>
      <c r="L930">
        <v>6.5</v>
      </c>
      <c r="M930">
        <v>46</v>
      </c>
      <c r="N930">
        <v>526</v>
      </c>
      <c r="O930">
        <v>7929</v>
      </c>
      <c r="P930" t="s">
        <v>68</v>
      </c>
      <c r="Q930" t="s">
        <v>375</v>
      </c>
      <c r="R930" s="2">
        <f>Table1[[#This Row],[Global_BoxOfficeUSD]]-Table1[[#This Row],[BudgetUSD]]</f>
        <v>242040.07999999996</v>
      </c>
      <c r="S930" s="15">
        <f>Table1[[#This Row],[Profit]]/Table1[[#This Row],[BudgetUSD]]</f>
        <v>0.60108623627707702</v>
      </c>
      <c r="T930" t="str">
        <f>IF(Table1[[#This Row],[ROI]]&gt;100%,"Hit","Flop")</f>
        <v>Flop</v>
      </c>
    </row>
    <row r="931" spans="1:20" x14ac:dyDescent="0.3">
      <c r="A931">
        <v>950</v>
      </c>
      <c r="B931" t="s">
        <v>1359</v>
      </c>
      <c r="C931" t="s">
        <v>67</v>
      </c>
      <c r="D931">
        <v>1970</v>
      </c>
      <c r="E931" s="1">
        <v>25898</v>
      </c>
      <c r="F931" t="s">
        <v>249</v>
      </c>
      <c r="G931" s="2">
        <v>456039.75</v>
      </c>
      <c r="H931" s="2">
        <v>272764.25</v>
      </c>
      <c r="I931" s="2">
        <v>636727.05000000005</v>
      </c>
      <c r="J931" s="2">
        <v>58708.63</v>
      </c>
      <c r="K931" s="2">
        <v>109338.21</v>
      </c>
      <c r="L931">
        <v>4.4000000000000004</v>
      </c>
      <c r="M931">
        <v>46</v>
      </c>
      <c r="N931">
        <v>118</v>
      </c>
      <c r="O931">
        <v>67</v>
      </c>
      <c r="P931" t="s">
        <v>68</v>
      </c>
      <c r="Q931" t="s">
        <v>724</v>
      </c>
      <c r="R931" s="2">
        <f>Table1[[#This Row],[Global_BoxOfficeUSD]]-Table1[[#This Row],[BudgetUSD]]</f>
        <v>180687.30000000005</v>
      </c>
      <c r="S931" s="15">
        <f>Table1[[#This Row],[Profit]]/Table1[[#This Row],[BudgetUSD]]</f>
        <v>0.39620954094462169</v>
      </c>
      <c r="T931" t="str">
        <f>IF(Table1[[#This Row],[ROI]]&gt;100%,"Hit","Flop")</f>
        <v>Flop</v>
      </c>
    </row>
    <row r="932" spans="1:20" x14ac:dyDescent="0.3">
      <c r="A932">
        <v>864</v>
      </c>
      <c r="B932" t="s">
        <v>1280</v>
      </c>
      <c r="C932" t="s">
        <v>33</v>
      </c>
      <c r="D932">
        <v>1977</v>
      </c>
      <c r="E932" s="1">
        <v>28427</v>
      </c>
      <c r="F932" t="s">
        <v>249</v>
      </c>
      <c r="G932" s="2">
        <v>634772.44999999995</v>
      </c>
      <c r="H932" s="2">
        <v>333760.48</v>
      </c>
      <c r="I932" s="2">
        <v>634772.44999999995</v>
      </c>
      <c r="J932" s="2">
        <v>93118.23</v>
      </c>
      <c r="K932" s="2">
        <v>172912.26</v>
      </c>
      <c r="L932">
        <v>5</v>
      </c>
      <c r="M932">
        <v>65</v>
      </c>
      <c r="N932">
        <v>1555</v>
      </c>
      <c r="O932">
        <v>1434</v>
      </c>
      <c r="P932" t="s">
        <v>20</v>
      </c>
      <c r="Q932" t="s">
        <v>830</v>
      </c>
      <c r="R932" s="2">
        <f>Table1[[#This Row],[Global_BoxOfficeUSD]]-Table1[[#This Row],[BudgetUSD]]</f>
        <v>0</v>
      </c>
      <c r="S932" s="15">
        <f>Table1[[#This Row],[Profit]]/Table1[[#This Row],[BudgetUSD]]</f>
        <v>0</v>
      </c>
      <c r="T932" t="str">
        <f>IF(Table1[[#This Row],[ROI]]&gt;100%,"Hit","Flop")</f>
        <v>Flop</v>
      </c>
    </row>
    <row r="933" spans="1:20" x14ac:dyDescent="0.3">
      <c r="A933">
        <v>961</v>
      </c>
      <c r="B933" t="s">
        <v>1370</v>
      </c>
      <c r="C933" t="s">
        <v>18</v>
      </c>
      <c r="D933">
        <v>2012</v>
      </c>
      <c r="E933" s="1">
        <v>41185</v>
      </c>
      <c r="F933" t="s">
        <v>23</v>
      </c>
      <c r="G933" s="2">
        <v>242702.38</v>
      </c>
      <c r="H933" s="2">
        <v>384577.71</v>
      </c>
      <c r="I933" s="2">
        <v>619341.9</v>
      </c>
      <c r="J933" s="2">
        <v>97170.08</v>
      </c>
      <c r="K933" s="2">
        <v>208429.13</v>
      </c>
      <c r="L933">
        <v>4.7</v>
      </c>
      <c r="M933">
        <v>44</v>
      </c>
      <c r="N933">
        <v>432</v>
      </c>
      <c r="O933">
        <v>2755</v>
      </c>
      <c r="P933" t="s">
        <v>83</v>
      </c>
      <c r="Q933" t="s">
        <v>750</v>
      </c>
      <c r="R933" s="2">
        <f>Table1[[#This Row],[Global_BoxOfficeUSD]]-Table1[[#This Row],[BudgetUSD]]</f>
        <v>376639.52</v>
      </c>
      <c r="S933" s="15">
        <f>Table1[[#This Row],[Profit]]/Table1[[#This Row],[BudgetUSD]]</f>
        <v>1.551857546679188</v>
      </c>
      <c r="T933" t="str">
        <f>IF(Table1[[#This Row],[ROI]]&gt;100%,"Hit","Flop")</f>
        <v>Hit</v>
      </c>
    </row>
    <row r="934" spans="1:20" x14ac:dyDescent="0.3">
      <c r="A934">
        <v>871</v>
      </c>
      <c r="B934" t="s">
        <v>1287</v>
      </c>
      <c r="C934" t="s">
        <v>38</v>
      </c>
      <c r="D934">
        <v>1981</v>
      </c>
      <c r="E934" s="1">
        <v>29778</v>
      </c>
      <c r="F934" t="s">
        <v>23</v>
      </c>
      <c r="G934" s="2">
        <v>217547.09</v>
      </c>
      <c r="H934" s="2">
        <v>416623.69</v>
      </c>
      <c r="I934" s="2">
        <v>618111.55000000005</v>
      </c>
      <c r="J934" s="2">
        <v>95591.42</v>
      </c>
      <c r="K934" s="2">
        <v>242106.55</v>
      </c>
      <c r="L934">
        <v>5.8</v>
      </c>
      <c r="M934">
        <v>59</v>
      </c>
      <c r="N934">
        <v>8480</v>
      </c>
      <c r="O934">
        <v>240</v>
      </c>
      <c r="P934" t="s">
        <v>606</v>
      </c>
      <c r="Q934" t="s">
        <v>225</v>
      </c>
      <c r="R934" s="2">
        <f>Table1[[#This Row],[Global_BoxOfficeUSD]]-Table1[[#This Row],[BudgetUSD]]</f>
        <v>400564.46000000008</v>
      </c>
      <c r="S934" s="15">
        <f>Table1[[#This Row],[Profit]]/Table1[[#This Row],[BudgetUSD]]</f>
        <v>1.8412770311016344</v>
      </c>
      <c r="T934" t="str">
        <f>IF(Table1[[#This Row],[ROI]]&gt;100%,"Hit","Flop")</f>
        <v>Hit</v>
      </c>
    </row>
    <row r="935" spans="1:20" x14ac:dyDescent="0.3">
      <c r="A935">
        <v>997</v>
      </c>
      <c r="B935" t="s">
        <v>1407</v>
      </c>
      <c r="C935" t="s">
        <v>67</v>
      </c>
      <c r="D935">
        <v>1989</v>
      </c>
      <c r="E935" s="1">
        <v>32697</v>
      </c>
      <c r="F935" t="s">
        <v>23</v>
      </c>
      <c r="G935" s="2">
        <v>288922.96000000002</v>
      </c>
      <c r="H935" s="2">
        <v>281511.21999999997</v>
      </c>
      <c r="I935" s="2">
        <v>616691.04</v>
      </c>
      <c r="J935" s="2">
        <v>80874.58</v>
      </c>
      <c r="K935" s="2">
        <v>115571.42</v>
      </c>
      <c r="L935">
        <v>4.7</v>
      </c>
      <c r="M935">
        <v>36</v>
      </c>
      <c r="N935">
        <v>24203</v>
      </c>
      <c r="O935">
        <v>3220</v>
      </c>
      <c r="P935" t="s">
        <v>319</v>
      </c>
      <c r="Q935" t="s">
        <v>944</v>
      </c>
      <c r="R935" s="2">
        <f>Table1[[#This Row],[Global_BoxOfficeUSD]]-Table1[[#This Row],[BudgetUSD]]</f>
        <v>327768.08</v>
      </c>
      <c r="S935" s="15">
        <f>Table1[[#This Row],[Profit]]/Table1[[#This Row],[BudgetUSD]]</f>
        <v>1.1344480203304022</v>
      </c>
      <c r="T935" t="str">
        <f>IF(Table1[[#This Row],[ROI]]&gt;100%,"Hit","Flop")</f>
        <v>Hit</v>
      </c>
    </row>
    <row r="936" spans="1:20" x14ac:dyDescent="0.3">
      <c r="A936">
        <v>596</v>
      </c>
      <c r="B936" t="s">
        <v>1013</v>
      </c>
      <c r="C936" t="s">
        <v>38</v>
      </c>
      <c r="D936">
        <v>2020</v>
      </c>
      <c r="E936" s="1">
        <v>44051</v>
      </c>
      <c r="F936" t="s">
        <v>139</v>
      </c>
      <c r="G936" s="2">
        <v>177220.72</v>
      </c>
      <c r="H936" s="2">
        <v>376174.42</v>
      </c>
      <c r="I936" s="2">
        <v>615111.82999999996</v>
      </c>
      <c r="J936" s="2">
        <v>66556.160000000003</v>
      </c>
      <c r="K936" s="2">
        <v>185647.81</v>
      </c>
      <c r="L936">
        <v>3.9</v>
      </c>
      <c r="M936">
        <v>39</v>
      </c>
      <c r="N936">
        <v>9041</v>
      </c>
      <c r="O936">
        <v>50</v>
      </c>
      <c r="P936" t="s">
        <v>95</v>
      </c>
      <c r="Q936" t="s">
        <v>96</v>
      </c>
      <c r="R936" s="2">
        <f>Table1[[#This Row],[Global_BoxOfficeUSD]]-Table1[[#This Row],[BudgetUSD]]</f>
        <v>437891.11</v>
      </c>
      <c r="S936" s="15">
        <f>Table1[[#This Row],[Profit]]/Table1[[#This Row],[BudgetUSD]]</f>
        <v>2.4708798722858138</v>
      </c>
      <c r="T936" t="str">
        <f>IF(Table1[[#This Row],[ROI]]&gt;100%,"Hit","Flop")</f>
        <v>Hit</v>
      </c>
    </row>
    <row r="937" spans="1:20" x14ac:dyDescent="0.3">
      <c r="A937">
        <v>144</v>
      </c>
      <c r="B937" t="s">
        <v>376</v>
      </c>
      <c r="C937" t="s">
        <v>18</v>
      </c>
      <c r="D937">
        <v>2019</v>
      </c>
      <c r="E937" s="1">
        <v>43779</v>
      </c>
      <c r="F937" t="s">
        <v>34</v>
      </c>
      <c r="G937" s="2">
        <v>610569.53</v>
      </c>
      <c r="H937" s="2">
        <v>401814.48</v>
      </c>
      <c r="I937" s="2">
        <v>611789.52</v>
      </c>
      <c r="J937" s="2">
        <v>81650.039999999994</v>
      </c>
      <c r="K937" s="2">
        <v>185839.9</v>
      </c>
      <c r="L937">
        <v>4.5</v>
      </c>
      <c r="M937">
        <v>56</v>
      </c>
      <c r="N937">
        <v>1588</v>
      </c>
      <c r="O937">
        <v>312</v>
      </c>
      <c r="P937" t="s">
        <v>246</v>
      </c>
      <c r="Q937" t="s">
        <v>335</v>
      </c>
      <c r="R937" s="2">
        <f>Table1[[#This Row],[Global_BoxOfficeUSD]]-Table1[[#This Row],[BudgetUSD]]</f>
        <v>1219.9899999999907</v>
      </c>
      <c r="S937" s="15">
        <f>Table1[[#This Row],[Profit]]/Table1[[#This Row],[BudgetUSD]]</f>
        <v>1.9981180521733382E-3</v>
      </c>
      <c r="T937" t="str">
        <f>IF(Table1[[#This Row],[ROI]]&gt;100%,"Hit","Flop")</f>
        <v>Flop</v>
      </c>
    </row>
    <row r="938" spans="1:20" x14ac:dyDescent="0.3">
      <c r="A938">
        <v>617</v>
      </c>
      <c r="B938" t="s">
        <v>992</v>
      </c>
      <c r="C938" t="s">
        <v>18</v>
      </c>
      <c r="D938">
        <v>1991</v>
      </c>
      <c r="E938" s="1">
        <v>33444</v>
      </c>
      <c r="F938" t="s">
        <v>19</v>
      </c>
      <c r="G938" s="2">
        <v>224421.44</v>
      </c>
      <c r="H938" s="2">
        <v>279070.74</v>
      </c>
      <c r="I938" s="2">
        <v>607453.86</v>
      </c>
      <c r="J938" s="2">
        <v>55302.09</v>
      </c>
      <c r="K938" s="2">
        <v>166071.20000000001</v>
      </c>
      <c r="L938">
        <v>8.6</v>
      </c>
      <c r="M938">
        <v>71</v>
      </c>
      <c r="N938">
        <v>9944</v>
      </c>
      <c r="O938">
        <v>938</v>
      </c>
      <c r="P938" t="s">
        <v>64</v>
      </c>
      <c r="Q938" t="s">
        <v>593</v>
      </c>
      <c r="R938" s="2">
        <f>Table1[[#This Row],[Global_BoxOfficeUSD]]-Table1[[#This Row],[BudgetUSD]]</f>
        <v>383032.42</v>
      </c>
      <c r="S938" s="15">
        <f>Table1[[#This Row],[Profit]]/Table1[[#This Row],[BudgetUSD]]</f>
        <v>1.706755023049491</v>
      </c>
      <c r="T938" t="str">
        <f>IF(Table1[[#This Row],[ROI]]&gt;100%,"Hit","Flop")</f>
        <v>Hit</v>
      </c>
    </row>
    <row r="939" spans="1:20" x14ac:dyDescent="0.3">
      <c r="A939">
        <v>803</v>
      </c>
      <c r="B939" t="s">
        <v>1223</v>
      </c>
      <c r="C939" t="s">
        <v>33</v>
      </c>
      <c r="D939">
        <v>1985</v>
      </c>
      <c r="E939" s="1">
        <v>31406</v>
      </c>
      <c r="F939" t="s">
        <v>23</v>
      </c>
      <c r="G939" s="2">
        <v>198875.14</v>
      </c>
      <c r="H939" s="2">
        <v>315687.96000000002</v>
      </c>
      <c r="I939" s="2">
        <v>603941.31000000006</v>
      </c>
      <c r="J939" s="2">
        <v>42934.6</v>
      </c>
      <c r="K939" s="2">
        <v>145386.59</v>
      </c>
      <c r="L939">
        <v>5.3</v>
      </c>
      <c r="M939">
        <v>42</v>
      </c>
      <c r="N939">
        <v>20494</v>
      </c>
      <c r="O939">
        <v>303</v>
      </c>
      <c r="P939" t="s">
        <v>187</v>
      </c>
      <c r="Q939" t="s">
        <v>391</v>
      </c>
      <c r="R939" s="2">
        <f>Table1[[#This Row],[Global_BoxOfficeUSD]]-Table1[[#This Row],[BudgetUSD]]</f>
        <v>405066.17000000004</v>
      </c>
      <c r="S939" s="15">
        <f>Table1[[#This Row],[Profit]]/Table1[[#This Row],[BudgetUSD]]</f>
        <v>2.0367863474539853</v>
      </c>
      <c r="T939" t="str">
        <f>IF(Table1[[#This Row],[ROI]]&gt;100%,"Hit","Flop")</f>
        <v>Hit</v>
      </c>
    </row>
    <row r="940" spans="1:20" x14ac:dyDescent="0.3">
      <c r="A940">
        <v>311</v>
      </c>
      <c r="B940" t="s">
        <v>561</v>
      </c>
      <c r="C940" t="s">
        <v>86</v>
      </c>
      <c r="D940">
        <v>1982</v>
      </c>
      <c r="E940" s="1">
        <v>30316</v>
      </c>
      <c r="F940" t="s">
        <v>23</v>
      </c>
      <c r="G940" s="2">
        <v>214259.21</v>
      </c>
      <c r="H940" s="2">
        <v>419685.99</v>
      </c>
      <c r="I940" s="2">
        <v>601268.61</v>
      </c>
      <c r="J940" s="2">
        <v>69457.55</v>
      </c>
      <c r="K940" s="2">
        <v>223830.9</v>
      </c>
      <c r="L940">
        <v>7.7</v>
      </c>
      <c r="M940">
        <v>78</v>
      </c>
      <c r="N940">
        <v>331</v>
      </c>
      <c r="O940">
        <v>1753</v>
      </c>
      <c r="P940" t="s">
        <v>573</v>
      </c>
      <c r="Q940" t="s">
        <v>564</v>
      </c>
      <c r="R940" s="2">
        <f>Table1[[#This Row],[Global_BoxOfficeUSD]]-Table1[[#This Row],[BudgetUSD]]</f>
        <v>387009.4</v>
      </c>
      <c r="S940" s="15">
        <f>Table1[[#This Row],[Profit]]/Table1[[#This Row],[BudgetUSD]]</f>
        <v>1.8062672778453726</v>
      </c>
      <c r="T940" t="str">
        <f>IF(Table1[[#This Row],[ROI]]&gt;100%,"Hit","Flop")</f>
        <v>Hit</v>
      </c>
    </row>
    <row r="941" spans="1:20" x14ac:dyDescent="0.3">
      <c r="A941">
        <v>635</v>
      </c>
      <c r="B941" t="s">
        <v>1053</v>
      </c>
      <c r="C941" t="s">
        <v>86</v>
      </c>
      <c r="D941">
        <v>1991</v>
      </c>
      <c r="E941" s="1">
        <v>33600</v>
      </c>
      <c r="F941" t="s">
        <v>23</v>
      </c>
      <c r="G941" s="2">
        <v>125423.99</v>
      </c>
      <c r="H941" s="2">
        <v>308549.2</v>
      </c>
      <c r="I941" s="2">
        <v>600466.25</v>
      </c>
      <c r="J941" s="2">
        <v>91646.3</v>
      </c>
      <c r="K941" s="2">
        <v>151586.9</v>
      </c>
      <c r="L941">
        <v>6.5</v>
      </c>
      <c r="M941">
        <v>66</v>
      </c>
      <c r="N941">
        <v>5487</v>
      </c>
      <c r="O941">
        <v>132</v>
      </c>
      <c r="P941" t="s">
        <v>20</v>
      </c>
      <c r="Q941" t="s">
        <v>36</v>
      </c>
      <c r="R941" s="2">
        <f>Table1[[#This Row],[Global_BoxOfficeUSD]]-Table1[[#This Row],[BudgetUSD]]</f>
        <v>475042.26</v>
      </c>
      <c r="S941" s="15">
        <f>Table1[[#This Row],[Profit]]/Table1[[#This Row],[BudgetUSD]]</f>
        <v>3.787491212805461</v>
      </c>
      <c r="T941" t="str">
        <f>IF(Table1[[#This Row],[ROI]]&gt;100%,"Hit","Flop")</f>
        <v>Hit</v>
      </c>
    </row>
    <row r="942" spans="1:20" x14ac:dyDescent="0.3">
      <c r="A942">
        <v>728</v>
      </c>
      <c r="B942" t="s">
        <v>1146</v>
      </c>
      <c r="C942" t="s">
        <v>38</v>
      </c>
      <c r="D942">
        <v>1991</v>
      </c>
      <c r="E942" s="1">
        <v>33421</v>
      </c>
      <c r="F942" t="s">
        <v>23</v>
      </c>
      <c r="G942" s="2">
        <v>170605.6</v>
      </c>
      <c r="H942" s="2">
        <v>339759.68</v>
      </c>
      <c r="I942" s="2">
        <v>592362.04</v>
      </c>
      <c r="J942" s="2">
        <v>80627.03</v>
      </c>
      <c r="K942" s="2">
        <v>201204.56</v>
      </c>
      <c r="L942">
        <v>4.7</v>
      </c>
      <c r="M942">
        <v>60</v>
      </c>
      <c r="N942">
        <v>57764</v>
      </c>
      <c r="O942">
        <v>507</v>
      </c>
      <c r="P942" t="s">
        <v>133</v>
      </c>
      <c r="Q942" t="s">
        <v>752</v>
      </c>
      <c r="R942" s="2">
        <f>Table1[[#This Row],[Global_BoxOfficeUSD]]-Table1[[#This Row],[BudgetUSD]]</f>
        <v>421756.44000000006</v>
      </c>
      <c r="S942" s="15">
        <f>Table1[[#This Row],[Profit]]/Table1[[#This Row],[BudgetUSD]]</f>
        <v>2.4721136938060653</v>
      </c>
      <c r="T942" t="str">
        <f>IF(Table1[[#This Row],[ROI]]&gt;100%,"Hit","Flop")</f>
        <v>Hit</v>
      </c>
    </row>
    <row r="943" spans="1:20" x14ac:dyDescent="0.3">
      <c r="A943">
        <v>114</v>
      </c>
      <c r="B943" t="s">
        <v>317</v>
      </c>
      <c r="C943" t="s">
        <v>77</v>
      </c>
      <c r="D943">
        <v>1965</v>
      </c>
      <c r="E943" s="1">
        <v>23843</v>
      </c>
      <c r="F943" t="s">
        <v>318</v>
      </c>
      <c r="G943" s="2">
        <v>525651.5</v>
      </c>
      <c r="H943" s="2">
        <v>315169.13</v>
      </c>
      <c r="I943" s="2">
        <v>589519.63</v>
      </c>
      <c r="J943" s="2">
        <v>67410.009999999995</v>
      </c>
      <c r="K943" s="2">
        <v>178174.32</v>
      </c>
      <c r="L943">
        <v>6.6</v>
      </c>
      <c r="M943">
        <v>69</v>
      </c>
      <c r="N943">
        <v>5833</v>
      </c>
      <c r="O943">
        <v>90</v>
      </c>
      <c r="P943" t="s">
        <v>319</v>
      </c>
      <c r="Q943" t="s">
        <v>320</v>
      </c>
      <c r="R943" s="2">
        <f>Table1[[#This Row],[Global_BoxOfficeUSD]]-Table1[[#This Row],[BudgetUSD]]</f>
        <v>63868.130000000005</v>
      </c>
      <c r="S943" s="15">
        <f>Table1[[#This Row],[Profit]]/Table1[[#This Row],[BudgetUSD]]</f>
        <v>0.12150280176124297</v>
      </c>
      <c r="T943" t="str">
        <f>IF(Table1[[#This Row],[ROI]]&gt;100%,"Hit","Flop")</f>
        <v>Flop</v>
      </c>
    </row>
    <row r="944" spans="1:20" x14ac:dyDescent="0.3">
      <c r="A944">
        <v>836</v>
      </c>
      <c r="B944" t="s">
        <v>1254</v>
      </c>
      <c r="C944" t="s">
        <v>18</v>
      </c>
      <c r="D944">
        <v>1970</v>
      </c>
      <c r="E944" s="1">
        <v>25873</v>
      </c>
      <c r="F944" t="s">
        <v>152</v>
      </c>
      <c r="G944" s="2">
        <v>119887.34</v>
      </c>
      <c r="H944" s="2">
        <v>309022.59000000003</v>
      </c>
      <c r="I944" s="2">
        <v>589249.43999999994</v>
      </c>
      <c r="J944" s="2">
        <v>85625.35</v>
      </c>
      <c r="K944" s="2">
        <v>171240.94</v>
      </c>
      <c r="L944">
        <v>5.2</v>
      </c>
      <c r="M944">
        <v>61</v>
      </c>
      <c r="N944">
        <v>760</v>
      </c>
      <c r="O944">
        <v>194</v>
      </c>
      <c r="P944" t="s">
        <v>552</v>
      </c>
      <c r="Q944" t="s">
        <v>112</v>
      </c>
      <c r="R944" s="2">
        <f>Table1[[#This Row],[Global_BoxOfficeUSD]]-Table1[[#This Row],[BudgetUSD]]</f>
        <v>469362.1</v>
      </c>
      <c r="S944" s="15">
        <f>Table1[[#This Row],[Profit]]/Table1[[#This Row],[BudgetUSD]]</f>
        <v>3.9150263906097171</v>
      </c>
      <c r="T944" t="str">
        <f>IF(Table1[[#This Row],[ROI]]&gt;100%,"Hit","Flop")</f>
        <v>Hit</v>
      </c>
    </row>
    <row r="945" spans="1:20" x14ac:dyDescent="0.3">
      <c r="A945">
        <v>272</v>
      </c>
      <c r="B945" t="s">
        <v>600</v>
      </c>
      <c r="C945" t="s">
        <v>38</v>
      </c>
      <c r="D945">
        <v>1983</v>
      </c>
      <c r="E945" s="1">
        <v>30629</v>
      </c>
      <c r="F945" t="s">
        <v>152</v>
      </c>
      <c r="G945" s="2">
        <v>126853.24</v>
      </c>
      <c r="H945" s="2">
        <v>287884.74</v>
      </c>
      <c r="I945" s="2">
        <v>585222.53</v>
      </c>
      <c r="J945" s="2">
        <v>81024.45</v>
      </c>
      <c r="K945" s="2">
        <v>140107.68</v>
      </c>
      <c r="L945">
        <v>5.4</v>
      </c>
      <c r="M945">
        <v>39</v>
      </c>
      <c r="N945">
        <v>1146</v>
      </c>
      <c r="O945">
        <v>901</v>
      </c>
      <c r="P945" t="s">
        <v>601</v>
      </c>
      <c r="Q945" t="s">
        <v>602</v>
      </c>
      <c r="R945" s="2">
        <f>Table1[[#This Row],[Global_BoxOfficeUSD]]-Table1[[#This Row],[BudgetUSD]]</f>
        <v>458369.29000000004</v>
      </c>
      <c r="S945" s="15">
        <f>Table1[[#This Row],[Profit]]/Table1[[#This Row],[BudgetUSD]]</f>
        <v>3.6133825986628327</v>
      </c>
      <c r="T945" t="str">
        <f>IF(Table1[[#This Row],[ROI]]&gt;100%,"Hit","Flop")</f>
        <v>Hit</v>
      </c>
    </row>
    <row r="946" spans="1:20" x14ac:dyDescent="0.3">
      <c r="A946">
        <v>731</v>
      </c>
      <c r="B946" t="s">
        <v>1148</v>
      </c>
      <c r="C946" t="s">
        <v>18</v>
      </c>
      <c r="D946">
        <v>2006</v>
      </c>
      <c r="E946" s="1">
        <v>38803</v>
      </c>
      <c r="F946" t="s">
        <v>23</v>
      </c>
      <c r="G946" s="2">
        <v>576171.4</v>
      </c>
      <c r="H946" s="2">
        <v>400513.46</v>
      </c>
      <c r="I946" s="2">
        <v>576171.4</v>
      </c>
      <c r="J946" s="2">
        <v>115558.82</v>
      </c>
      <c r="K946" s="2">
        <v>162482.35</v>
      </c>
      <c r="L946">
        <v>7.3</v>
      </c>
      <c r="M946">
        <v>60</v>
      </c>
      <c r="N946">
        <v>4377</v>
      </c>
      <c r="O946">
        <v>50</v>
      </c>
      <c r="P946" t="s">
        <v>990</v>
      </c>
      <c r="Q946" t="s">
        <v>213</v>
      </c>
      <c r="R946" s="2">
        <f>Table1[[#This Row],[Global_BoxOfficeUSD]]-Table1[[#This Row],[BudgetUSD]]</f>
        <v>0</v>
      </c>
      <c r="S946" s="15">
        <f>Table1[[#This Row],[Profit]]/Table1[[#This Row],[BudgetUSD]]</f>
        <v>0</v>
      </c>
      <c r="T946" t="str">
        <f>IF(Table1[[#This Row],[ROI]]&gt;100%,"Hit","Flop")</f>
        <v>Flop</v>
      </c>
    </row>
    <row r="947" spans="1:20" x14ac:dyDescent="0.3">
      <c r="A947">
        <v>739</v>
      </c>
      <c r="B947" t="s">
        <v>1157</v>
      </c>
      <c r="C947" t="s">
        <v>67</v>
      </c>
      <c r="D947">
        <v>2012</v>
      </c>
      <c r="E947" s="1">
        <v>41264</v>
      </c>
      <c r="F947" t="s">
        <v>34</v>
      </c>
      <c r="G947" s="2">
        <v>536191.25</v>
      </c>
      <c r="H947" s="2">
        <v>289718.63</v>
      </c>
      <c r="I947" s="2">
        <v>566535.38</v>
      </c>
      <c r="J947" s="2">
        <v>80722.28</v>
      </c>
      <c r="K947" s="2">
        <v>148241.10999999999</v>
      </c>
      <c r="L947">
        <v>7.6</v>
      </c>
      <c r="M947">
        <v>64</v>
      </c>
      <c r="N947">
        <v>3952</v>
      </c>
      <c r="O947">
        <v>50</v>
      </c>
      <c r="P947" t="s">
        <v>111</v>
      </c>
      <c r="Q947" t="s">
        <v>834</v>
      </c>
      <c r="R947" s="2">
        <f>Table1[[#This Row],[Global_BoxOfficeUSD]]-Table1[[#This Row],[BudgetUSD]]</f>
        <v>30344.130000000005</v>
      </c>
      <c r="S947" s="15">
        <f>Table1[[#This Row],[Profit]]/Table1[[#This Row],[BudgetUSD]]</f>
        <v>5.6591990264667699E-2</v>
      </c>
      <c r="T947" t="str">
        <f>IF(Table1[[#This Row],[ROI]]&gt;100%,"Hit","Flop")</f>
        <v>Flop</v>
      </c>
    </row>
    <row r="948" spans="1:20" x14ac:dyDescent="0.3">
      <c r="A948">
        <v>134</v>
      </c>
      <c r="B948" t="s">
        <v>359</v>
      </c>
      <c r="C948" t="s">
        <v>18</v>
      </c>
      <c r="D948">
        <v>1964</v>
      </c>
      <c r="E948" s="1">
        <v>23690</v>
      </c>
      <c r="F948" t="s">
        <v>23</v>
      </c>
      <c r="G948" s="2">
        <v>351445.84</v>
      </c>
      <c r="H948" s="2">
        <v>331907.75</v>
      </c>
      <c r="I948" s="2">
        <v>566443.47</v>
      </c>
      <c r="J948" s="2">
        <v>84028.11</v>
      </c>
      <c r="K948" s="2">
        <v>181907.51</v>
      </c>
      <c r="L948">
        <v>4.4000000000000004</v>
      </c>
      <c r="M948">
        <v>53</v>
      </c>
      <c r="N948">
        <v>1462</v>
      </c>
      <c r="O948">
        <v>50</v>
      </c>
      <c r="P948" t="s">
        <v>360</v>
      </c>
      <c r="Q948" t="s">
        <v>253</v>
      </c>
      <c r="R948" s="2">
        <f>Table1[[#This Row],[Global_BoxOfficeUSD]]-Table1[[#This Row],[BudgetUSD]]</f>
        <v>214997.62999999995</v>
      </c>
      <c r="S948" s="15">
        <f>Table1[[#This Row],[Profit]]/Table1[[#This Row],[BudgetUSD]]</f>
        <v>0.61175181359380992</v>
      </c>
      <c r="T948" t="str">
        <f>IF(Table1[[#This Row],[ROI]]&gt;100%,"Hit","Flop")</f>
        <v>Flop</v>
      </c>
    </row>
    <row r="949" spans="1:20" x14ac:dyDescent="0.3">
      <c r="A949">
        <v>262</v>
      </c>
      <c r="B949" t="s">
        <v>586</v>
      </c>
      <c r="C949" t="s">
        <v>38</v>
      </c>
      <c r="D949">
        <v>1994</v>
      </c>
      <c r="E949" s="1">
        <v>34380</v>
      </c>
      <c r="F949" t="s">
        <v>23</v>
      </c>
      <c r="G949" s="2">
        <v>321057.09999999998</v>
      </c>
      <c r="H949" s="2">
        <v>382300.64</v>
      </c>
      <c r="I949" s="2">
        <v>553458.15</v>
      </c>
      <c r="J949" s="2">
        <v>67565.34</v>
      </c>
      <c r="K949" s="2">
        <v>160896.35</v>
      </c>
      <c r="L949">
        <v>9</v>
      </c>
      <c r="M949">
        <v>95</v>
      </c>
      <c r="N949">
        <v>306</v>
      </c>
      <c r="O949">
        <v>66</v>
      </c>
      <c r="P949" t="s">
        <v>316</v>
      </c>
      <c r="Q949" t="s">
        <v>112</v>
      </c>
      <c r="R949" s="2">
        <f>Table1[[#This Row],[Global_BoxOfficeUSD]]-Table1[[#This Row],[BudgetUSD]]</f>
        <v>232401.05000000005</v>
      </c>
      <c r="S949" s="15">
        <f>Table1[[#This Row],[Profit]]/Table1[[#This Row],[BudgetUSD]]</f>
        <v>0.72386204821509958</v>
      </c>
      <c r="T949" t="str">
        <f>IF(Table1[[#This Row],[ROI]]&gt;100%,"Hit","Flop")</f>
        <v>Flop</v>
      </c>
    </row>
    <row r="950" spans="1:20" x14ac:dyDescent="0.3">
      <c r="A950">
        <v>654</v>
      </c>
      <c r="B950" t="s">
        <v>1074</v>
      </c>
      <c r="C950" t="s">
        <v>45</v>
      </c>
      <c r="D950">
        <v>2017</v>
      </c>
      <c r="E950" s="1">
        <v>42838</v>
      </c>
      <c r="F950" t="s">
        <v>23</v>
      </c>
      <c r="G950" s="2">
        <v>350369.96</v>
      </c>
      <c r="H950" s="2">
        <v>226903.42</v>
      </c>
      <c r="I950" s="2">
        <v>544774.76</v>
      </c>
      <c r="J950" s="2">
        <v>51379.28</v>
      </c>
      <c r="K950" s="2">
        <v>120738.14</v>
      </c>
      <c r="L950">
        <v>6.8</v>
      </c>
      <c r="M950">
        <v>56</v>
      </c>
      <c r="N950">
        <v>3605</v>
      </c>
      <c r="O950">
        <v>50</v>
      </c>
      <c r="P950" t="s">
        <v>192</v>
      </c>
      <c r="Q950" t="s">
        <v>821</v>
      </c>
      <c r="R950" s="2">
        <f>Table1[[#This Row],[Global_BoxOfficeUSD]]-Table1[[#This Row],[BudgetUSD]]</f>
        <v>194404.8</v>
      </c>
      <c r="S950" s="15">
        <f>Table1[[#This Row],[Profit]]/Table1[[#This Row],[BudgetUSD]]</f>
        <v>0.55485578729409335</v>
      </c>
      <c r="T950" t="str">
        <f>IF(Table1[[#This Row],[ROI]]&gt;100%,"Hit","Flop")</f>
        <v>Flop</v>
      </c>
    </row>
    <row r="951" spans="1:20" x14ac:dyDescent="0.3">
      <c r="A951">
        <v>896</v>
      </c>
      <c r="B951" t="s">
        <v>157</v>
      </c>
      <c r="C951" t="s">
        <v>38</v>
      </c>
      <c r="D951">
        <v>2024</v>
      </c>
      <c r="E951" s="1">
        <v>45393</v>
      </c>
      <c r="F951" t="s">
        <v>23</v>
      </c>
      <c r="G951" s="2">
        <v>285705.83</v>
      </c>
      <c r="H951" s="2">
        <v>358110.24</v>
      </c>
      <c r="I951" s="2">
        <v>541388.85</v>
      </c>
      <c r="J951" s="2">
        <v>73507.34</v>
      </c>
      <c r="K951" s="2">
        <v>204111.1</v>
      </c>
      <c r="L951">
        <v>7.9</v>
      </c>
      <c r="M951">
        <v>99</v>
      </c>
      <c r="N951">
        <v>5834</v>
      </c>
      <c r="O951">
        <v>3362</v>
      </c>
      <c r="P951" t="s">
        <v>310</v>
      </c>
      <c r="Q951" t="s">
        <v>228</v>
      </c>
      <c r="R951" s="2">
        <f>Table1[[#This Row],[Global_BoxOfficeUSD]]-Table1[[#This Row],[BudgetUSD]]</f>
        <v>255683.01999999996</v>
      </c>
      <c r="S951" s="15">
        <f>Table1[[#This Row],[Profit]]/Table1[[#This Row],[BudgetUSD]]</f>
        <v>0.89491705507024466</v>
      </c>
      <c r="T951" t="str">
        <f>IF(Table1[[#This Row],[ROI]]&gt;100%,"Hit","Flop")</f>
        <v>Flop</v>
      </c>
    </row>
    <row r="952" spans="1:20" x14ac:dyDescent="0.3">
      <c r="A952">
        <v>494</v>
      </c>
      <c r="B952" t="s">
        <v>897</v>
      </c>
      <c r="C952" t="s">
        <v>18</v>
      </c>
      <c r="D952">
        <v>1962</v>
      </c>
      <c r="E952" s="1">
        <v>22808</v>
      </c>
      <c r="F952" t="s">
        <v>23</v>
      </c>
      <c r="G952" s="2">
        <v>123312.94</v>
      </c>
      <c r="H952" s="2">
        <v>268714.36</v>
      </c>
      <c r="I952" s="2">
        <v>537642.85</v>
      </c>
      <c r="J952" s="2">
        <v>36555.39</v>
      </c>
      <c r="K952" s="2">
        <v>132484.89000000001</v>
      </c>
      <c r="L952">
        <v>5.2</v>
      </c>
      <c r="M952">
        <v>47</v>
      </c>
      <c r="N952">
        <v>16484</v>
      </c>
      <c r="O952">
        <v>302</v>
      </c>
      <c r="P952" t="s">
        <v>252</v>
      </c>
      <c r="Q952" t="s">
        <v>731</v>
      </c>
      <c r="R952" s="2">
        <f>Table1[[#This Row],[Global_BoxOfficeUSD]]-Table1[[#This Row],[BudgetUSD]]</f>
        <v>414329.91</v>
      </c>
      <c r="S952" s="15">
        <f>Table1[[#This Row],[Profit]]/Table1[[#This Row],[BudgetUSD]]</f>
        <v>3.3599872811401621</v>
      </c>
      <c r="T952" t="str">
        <f>IF(Table1[[#This Row],[ROI]]&gt;100%,"Hit","Flop")</f>
        <v>Hit</v>
      </c>
    </row>
    <row r="953" spans="1:20" x14ac:dyDescent="0.3">
      <c r="A953">
        <v>885</v>
      </c>
      <c r="B953" t="s">
        <v>1300</v>
      </c>
      <c r="C953" t="s">
        <v>45</v>
      </c>
      <c r="D953">
        <v>1960</v>
      </c>
      <c r="E953" s="1">
        <v>21946</v>
      </c>
      <c r="F953" t="s">
        <v>23</v>
      </c>
      <c r="G953" s="2">
        <v>535477.89</v>
      </c>
      <c r="H953" s="2">
        <v>305774.69</v>
      </c>
      <c r="I953" s="2">
        <v>535477.89</v>
      </c>
      <c r="J953" s="2">
        <v>75258.899999999994</v>
      </c>
      <c r="K953" s="2">
        <v>128324.49</v>
      </c>
      <c r="L953">
        <v>5.7</v>
      </c>
      <c r="M953">
        <v>44</v>
      </c>
      <c r="N953">
        <v>12166</v>
      </c>
      <c r="O953">
        <v>769</v>
      </c>
      <c r="P953" t="s">
        <v>39</v>
      </c>
      <c r="Q953" t="s">
        <v>272</v>
      </c>
      <c r="R953" s="2">
        <f>Table1[[#This Row],[Global_BoxOfficeUSD]]-Table1[[#This Row],[BudgetUSD]]</f>
        <v>0</v>
      </c>
      <c r="S953" s="15">
        <f>Table1[[#This Row],[Profit]]/Table1[[#This Row],[BudgetUSD]]</f>
        <v>0</v>
      </c>
      <c r="T953" t="str">
        <f>IF(Table1[[#This Row],[ROI]]&gt;100%,"Hit","Flop")</f>
        <v>Flop</v>
      </c>
    </row>
    <row r="954" spans="1:20" x14ac:dyDescent="0.3">
      <c r="A954">
        <v>946</v>
      </c>
      <c r="B954" t="s">
        <v>1355</v>
      </c>
      <c r="C954" t="s">
        <v>38</v>
      </c>
      <c r="D954">
        <v>1994</v>
      </c>
      <c r="E954" s="1">
        <v>34380</v>
      </c>
      <c r="F954" t="s">
        <v>23</v>
      </c>
      <c r="G954" s="2">
        <v>534699.89</v>
      </c>
      <c r="H954" s="2">
        <v>236043.96</v>
      </c>
      <c r="I954" s="2">
        <v>534699.89</v>
      </c>
      <c r="J954" s="2">
        <v>34509.120000000003</v>
      </c>
      <c r="K954" s="2">
        <v>94934.35</v>
      </c>
      <c r="L954">
        <v>6.5</v>
      </c>
      <c r="M954">
        <v>73</v>
      </c>
      <c r="N954">
        <v>3256</v>
      </c>
      <c r="O954">
        <v>288</v>
      </c>
      <c r="P954" t="s">
        <v>231</v>
      </c>
      <c r="Q954" t="s">
        <v>210</v>
      </c>
      <c r="R954" s="2">
        <f>Table1[[#This Row],[Global_BoxOfficeUSD]]-Table1[[#This Row],[BudgetUSD]]</f>
        <v>0</v>
      </c>
      <c r="S954" s="15">
        <f>Table1[[#This Row],[Profit]]/Table1[[#This Row],[BudgetUSD]]</f>
        <v>0</v>
      </c>
      <c r="T954" t="str">
        <f>IF(Table1[[#This Row],[ROI]]&gt;100%,"Hit","Flop")</f>
        <v>Flop</v>
      </c>
    </row>
    <row r="955" spans="1:20" x14ac:dyDescent="0.3">
      <c r="A955">
        <v>309</v>
      </c>
      <c r="B955" t="s">
        <v>654</v>
      </c>
      <c r="C955" t="s">
        <v>18</v>
      </c>
      <c r="D955">
        <v>2023</v>
      </c>
      <c r="E955" s="1">
        <v>45086</v>
      </c>
      <c r="F955" t="s">
        <v>23</v>
      </c>
      <c r="G955" s="2">
        <v>207234.63</v>
      </c>
      <c r="H955" s="2">
        <v>356280.64</v>
      </c>
      <c r="I955" s="2">
        <v>525929.25</v>
      </c>
      <c r="J955" s="2">
        <v>90211.48</v>
      </c>
      <c r="K955" s="2">
        <v>143777.60000000001</v>
      </c>
      <c r="L955">
        <v>7</v>
      </c>
      <c r="M955">
        <v>100</v>
      </c>
      <c r="N955">
        <v>174</v>
      </c>
      <c r="O955">
        <v>5958</v>
      </c>
      <c r="P955" t="s">
        <v>123</v>
      </c>
      <c r="Q955" t="s">
        <v>88</v>
      </c>
      <c r="R955" s="2">
        <f>Table1[[#This Row],[Global_BoxOfficeUSD]]-Table1[[#This Row],[BudgetUSD]]</f>
        <v>318694.62</v>
      </c>
      <c r="S955" s="15">
        <f>Table1[[#This Row],[Profit]]/Table1[[#This Row],[BudgetUSD]]</f>
        <v>1.537844423009803</v>
      </c>
      <c r="T955" t="str">
        <f>IF(Table1[[#This Row],[ROI]]&gt;100%,"Hit","Flop")</f>
        <v>Hit</v>
      </c>
    </row>
    <row r="956" spans="1:20" x14ac:dyDescent="0.3">
      <c r="A956">
        <v>56</v>
      </c>
      <c r="B956" t="s">
        <v>183</v>
      </c>
      <c r="C956" t="s">
        <v>18</v>
      </c>
      <c r="D956">
        <v>1990</v>
      </c>
      <c r="E956" s="1">
        <v>33027</v>
      </c>
      <c r="F956" t="s">
        <v>23</v>
      </c>
      <c r="G956" s="2">
        <v>520354.31</v>
      </c>
      <c r="H956" s="2">
        <v>300667.11</v>
      </c>
      <c r="I956" s="2">
        <v>520354.31</v>
      </c>
      <c r="J956" s="2">
        <v>51494.64</v>
      </c>
      <c r="K956" s="2">
        <v>161530.26999999999</v>
      </c>
      <c r="L956">
        <v>7.4</v>
      </c>
      <c r="M956">
        <v>77</v>
      </c>
      <c r="N956">
        <v>2281</v>
      </c>
      <c r="O956">
        <v>222</v>
      </c>
      <c r="P956" t="s">
        <v>184</v>
      </c>
      <c r="Q956" t="s">
        <v>185</v>
      </c>
      <c r="R956" s="2">
        <f>Table1[[#This Row],[Global_BoxOfficeUSD]]-Table1[[#This Row],[BudgetUSD]]</f>
        <v>0</v>
      </c>
      <c r="S956" s="15">
        <f>Table1[[#This Row],[Profit]]/Table1[[#This Row],[BudgetUSD]]</f>
        <v>0</v>
      </c>
      <c r="T956" t="str">
        <f>IF(Table1[[#This Row],[ROI]]&gt;100%,"Hit","Flop")</f>
        <v>Flop</v>
      </c>
    </row>
    <row r="957" spans="1:20" x14ac:dyDescent="0.3">
      <c r="A957">
        <v>184</v>
      </c>
      <c r="B957" t="s">
        <v>463</v>
      </c>
      <c r="C957" t="s">
        <v>18</v>
      </c>
      <c r="D957">
        <v>1988</v>
      </c>
      <c r="E957" s="1">
        <v>32182</v>
      </c>
      <c r="F957" t="s">
        <v>132</v>
      </c>
      <c r="G957" s="2">
        <v>125479.83</v>
      </c>
      <c r="H957" s="2">
        <v>262667.92</v>
      </c>
      <c r="I957" s="2">
        <v>517275.13</v>
      </c>
      <c r="J957" s="2">
        <v>75835.58</v>
      </c>
      <c r="K957" s="2">
        <v>130923.62</v>
      </c>
      <c r="L957">
        <v>7.8</v>
      </c>
      <c r="M957">
        <v>71</v>
      </c>
      <c r="N957">
        <v>10043</v>
      </c>
      <c r="O957">
        <v>50</v>
      </c>
      <c r="P957" t="s">
        <v>136</v>
      </c>
      <c r="Q957" t="s">
        <v>100</v>
      </c>
      <c r="R957" s="2">
        <f>Table1[[#This Row],[Global_BoxOfficeUSD]]-Table1[[#This Row],[BudgetUSD]]</f>
        <v>391795.3</v>
      </c>
      <c r="S957" s="15">
        <f>Table1[[#This Row],[Profit]]/Table1[[#This Row],[BudgetUSD]]</f>
        <v>3.1223767198281984</v>
      </c>
      <c r="T957" t="str">
        <f>IF(Table1[[#This Row],[ROI]]&gt;100%,"Hit","Flop")</f>
        <v>Hit</v>
      </c>
    </row>
    <row r="958" spans="1:20" x14ac:dyDescent="0.3">
      <c r="A958">
        <v>561</v>
      </c>
      <c r="B958" t="s">
        <v>973</v>
      </c>
      <c r="C958" t="s">
        <v>38</v>
      </c>
      <c r="D958">
        <v>1978</v>
      </c>
      <c r="E958" s="1">
        <v>28634</v>
      </c>
      <c r="F958" t="s">
        <v>152</v>
      </c>
      <c r="G958" s="2">
        <v>163737.96</v>
      </c>
      <c r="H958" s="2">
        <v>344114.97</v>
      </c>
      <c r="I958" s="2">
        <v>507385.63</v>
      </c>
      <c r="J958" s="2">
        <v>83044.160000000003</v>
      </c>
      <c r="K958" s="2">
        <v>150089.16</v>
      </c>
      <c r="L958">
        <v>6.5</v>
      </c>
      <c r="M958">
        <v>72</v>
      </c>
      <c r="N958">
        <v>2824</v>
      </c>
      <c r="O958">
        <v>218</v>
      </c>
      <c r="P958" t="s">
        <v>80</v>
      </c>
      <c r="Q958" t="s">
        <v>855</v>
      </c>
      <c r="R958" s="2">
        <f>Table1[[#This Row],[Global_BoxOfficeUSD]]-Table1[[#This Row],[BudgetUSD]]</f>
        <v>343647.67000000004</v>
      </c>
      <c r="S958" s="15">
        <f>Table1[[#This Row],[Profit]]/Table1[[#This Row],[BudgetUSD]]</f>
        <v>2.0987660405687238</v>
      </c>
      <c r="T958" t="str">
        <f>IF(Table1[[#This Row],[ROI]]&gt;100%,"Hit","Flop")</f>
        <v>Hit</v>
      </c>
    </row>
    <row r="959" spans="1:20" x14ac:dyDescent="0.3">
      <c r="A959">
        <v>448</v>
      </c>
      <c r="B959" t="s">
        <v>839</v>
      </c>
      <c r="C959" t="s">
        <v>107</v>
      </c>
      <c r="D959">
        <v>1991</v>
      </c>
      <c r="E959" s="1">
        <v>33242</v>
      </c>
      <c r="F959" t="s">
        <v>23</v>
      </c>
      <c r="G959" s="2">
        <v>345786.14</v>
      </c>
      <c r="H959" s="2">
        <v>250038.38</v>
      </c>
      <c r="I959" s="2">
        <v>505592.97</v>
      </c>
      <c r="J959" s="2">
        <v>50790.34</v>
      </c>
      <c r="K959" s="2">
        <v>131615.07</v>
      </c>
      <c r="L959">
        <v>4.2</v>
      </c>
      <c r="M959">
        <v>48</v>
      </c>
      <c r="N959">
        <v>4977</v>
      </c>
      <c r="O959">
        <v>304</v>
      </c>
      <c r="P959" t="s">
        <v>184</v>
      </c>
      <c r="Q959" t="s">
        <v>417</v>
      </c>
      <c r="R959" s="2">
        <f>Table1[[#This Row],[Global_BoxOfficeUSD]]-Table1[[#This Row],[BudgetUSD]]</f>
        <v>159806.82999999996</v>
      </c>
      <c r="S959" s="15">
        <f>Table1[[#This Row],[Profit]]/Table1[[#This Row],[BudgetUSD]]</f>
        <v>0.46215510546489791</v>
      </c>
      <c r="T959" t="str">
        <f>IF(Table1[[#This Row],[ROI]]&gt;100%,"Hit","Flop")</f>
        <v>Flop</v>
      </c>
    </row>
    <row r="960" spans="1:20" x14ac:dyDescent="0.3">
      <c r="A960">
        <v>34</v>
      </c>
      <c r="B960" t="s">
        <v>122</v>
      </c>
      <c r="C960" t="s">
        <v>38</v>
      </c>
      <c r="D960">
        <v>2021</v>
      </c>
      <c r="E960" s="1">
        <v>44289</v>
      </c>
      <c r="F960" t="s">
        <v>23</v>
      </c>
      <c r="G960" s="2">
        <v>107950.63</v>
      </c>
      <c r="H960" s="2">
        <v>338018.02</v>
      </c>
      <c r="I960" s="2">
        <v>495980.3</v>
      </c>
      <c r="J960" s="2">
        <v>75865.17</v>
      </c>
      <c r="K960" s="2">
        <v>164850.74</v>
      </c>
      <c r="L960">
        <v>7.4</v>
      </c>
      <c r="M960">
        <v>74</v>
      </c>
      <c r="N960">
        <v>26678</v>
      </c>
      <c r="O960">
        <v>112</v>
      </c>
      <c r="P960" t="s">
        <v>123</v>
      </c>
      <c r="Q960" t="s">
        <v>124</v>
      </c>
      <c r="R960" s="2">
        <f>Table1[[#This Row],[Global_BoxOfficeUSD]]-Table1[[#This Row],[BudgetUSD]]</f>
        <v>388029.67</v>
      </c>
      <c r="S960" s="15">
        <f>Table1[[#This Row],[Profit]]/Table1[[#This Row],[BudgetUSD]]</f>
        <v>3.5945104720556049</v>
      </c>
      <c r="T960" t="str">
        <f>IF(Table1[[#This Row],[ROI]]&gt;100%,"Hit","Flop")</f>
        <v>Hit</v>
      </c>
    </row>
    <row r="961" spans="1:20" x14ac:dyDescent="0.3">
      <c r="A961">
        <v>165</v>
      </c>
      <c r="B961" t="s">
        <v>423</v>
      </c>
      <c r="C961" t="s">
        <v>77</v>
      </c>
      <c r="D961">
        <v>1989</v>
      </c>
      <c r="E961" s="1">
        <v>32780</v>
      </c>
      <c r="F961" t="s">
        <v>249</v>
      </c>
      <c r="G961" s="2">
        <v>329963.78999999998</v>
      </c>
      <c r="H961" s="2">
        <v>284015.28999999998</v>
      </c>
      <c r="I961" s="2">
        <v>480121.4</v>
      </c>
      <c r="J961" s="2">
        <v>45819.87</v>
      </c>
      <c r="K961" s="2">
        <v>116447.21</v>
      </c>
      <c r="L961">
        <v>7.8</v>
      </c>
      <c r="M961">
        <v>81</v>
      </c>
      <c r="N961">
        <v>23359</v>
      </c>
      <c r="O961">
        <v>42891</v>
      </c>
      <c r="P961" t="s">
        <v>424</v>
      </c>
      <c r="Q961" t="s">
        <v>425</v>
      </c>
      <c r="R961" s="2">
        <f>Table1[[#This Row],[Global_BoxOfficeUSD]]-Table1[[#This Row],[BudgetUSD]]</f>
        <v>150157.61000000004</v>
      </c>
      <c r="S961" s="15">
        <f>Table1[[#This Row],[Profit]]/Table1[[#This Row],[BudgetUSD]]</f>
        <v>0.45507299452464178</v>
      </c>
      <c r="T961" t="str">
        <f>IF(Table1[[#This Row],[ROI]]&gt;100%,"Hit","Flop")</f>
        <v>Flop</v>
      </c>
    </row>
    <row r="962" spans="1:20" x14ac:dyDescent="0.3">
      <c r="A962">
        <v>400</v>
      </c>
      <c r="B962" t="s">
        <v>773</v>
      </c>
      <c r="C962" t="s">
        <v>18</v>
      </c>
      <c r="D962">
        <v>2012</v>
      </c>
      <c r="E962" s="1">
        <v>41200</v>
      </c>
      <c r="F962" t="s">
        <v>23</v>
      </c>
      <c r="G962" s="2">
        <v>100000</v>
      </c>
      <c r="H962" s="2">
        <v>324909.59000000003</v>
      </c>
      <c r="I962" s="2">
        <v>474779.07</v>
      </c>
      <c r="J962" s="2">
        <v>83630.649999999994</v>
      </c>
      <c r="K962" s="2">
        <v>153108.38</v>
      </c>
      <c r="L962">
        <v>6.2</v>
      </c>
      <c r="M962">
        <v>40</v>
      </c>
      <c r="N962">
        <v>1363</v>
      </c>
      <c r="O962">
        <v>33012</v>
      </c>
      <c r="P962" t="s">
        <v>246</v>
      </c>
      <c r="Q962" t="s">
        <v>295</v>
      </c>
      <c r="R962" s="2">
        <f>Table1[[#This Row],[Global_BoxOfficeUSD]]-Table1[[#This Row],[BudgetUSD]]</f>
        <v>374779.07</v>
      </c>
      <c r="S962" s="15">
        <f>Table1[[#This Row],[Profit]]/Table1[[#This Row],[BudgetUSD]]</f>
        <v>3.7477906999999999</v>
      </c>
      <c r="T962" t="str">
        <f>IF(Table1[[#This Row],[ROI]]&gt;100%,"Hit","Flop")</f>
        <v>Hit</v>
      </c>
    </row>
    <row r="963" spans="1:20" x14ac:dyDescent="0.3">
      <c r="A963">
        <v>141</v>
      </c>
      <c r="B963" t="s">
        <v>372</v>
      </c>
      <c r="C963" t="s">
        <v>45</v>
      </c>
      <c r="D963">
        <v>1964</v>
      </c>
      <c r="E963" s="1">
        <v>23470</v>
      </c>
      <c r="F963" t="s">
        <v>23</v>
      </c>
      <c r="G963" s="2">
        <v>471381.47</v>
      </c>
      <c r="H963" s="2">
        <v>268877.33</v>
      </c>
      <c r="I963" s="2">
        <v>471381.47</v>
      </c>
      <c r="J963" s="2">
        <v>73120.11</v>
      </c>
      <c r="K963" s="2">
        <v>124811.25</v>
      </c>
      <c r="L963">
        <v>4.8</v>
      </c>
      <c r="M963">
        <v>33</v>
      </c>
      <c r="N963">
        <v>972</v>
      </c>
      <c r="O963">
        <v>114</v>
      </c>
      <c r="P963" t="s">
        <v>205</v>
      </c>
      <c r="Q963" t="s">
        <v>203</v>
      </c>
      <c r="R963" s="2">
        <f>Table1[[#This Row],[Global_BoxOfficeUSD]]-Table1[[#This Row],[BudgetUSD]]</f>
        <v>0</v>
      </c>
      <c r="S963" s="15">
        <f>Table1[[#This Row],[Profit]]/Table1[[#This Row],[BudgetUSD]]</f>
        <v>0</v>
      </c>
      <c r="T963" t="str">
        <f>IF(Table1[[#This Row],[ROI]]&gt;100%,"Hit","Flop")</f>
        <v>Flop</v>
      </c>
    </row>
    <row r="964" spans="1:20" x14ac:dyDescent="0.3">
      <c r="A964">
        <v>895</v>
      </c>
      <c r="B964" t="s">
        <v>1309</v>
      </c>
      <c r="C964" t="s">
        <v>18</v>
      </c>
      <c r="D964">
        <v>1954</v>
      </c>
      <c r="E964" s="1">
        <v>19901</v>
      </c>
      <c r="F964" t="s">
        <v>23</v>
      </c>
      <c r="G964" s="2">
        <v>468684.71</v>
      </c>
      <c r="H964" s="2">
        <v>237130.45</v>
      </c>
      <c r="I964" s="2">
        <v>468684.71</v>
      </c>
      <c r="J964" s="2">
        <v>70115.5</v>
      </c>
      <c r="K964" s="2">
        <v>119484.81</v>
      </c>
      <c r="L964">
        <v>9.4</v>
      </c>
      <c r="M964">
        <v>100</v>
      </c>
      <c r="N964">
        <v>16315</v>
      </c>
      <c r="O964">
        <v>1293</v>
      </c>
      <c r="P964" t="s">
        <v>606</v>
      </c>
      <c r="Q964" t="s">
        <v>340</v>
      </c>
      <c r="R964" s="2">
        <f>Table1[[#This Row],[Global_BoxOfficeUSD]]-Table1[[#This Row],[BudgetUSD]]</f>
        <v>0</v>
      </c>
      <c r="S964" s="15">
        <f>Table1[[#This Row],[Profit]]/Table1[[#This Row],[BudgetUSD]]</f>
        <v>0</v>
      </c>
      <c r="T964" t="str">
        <f>IF(Table1[[#This Row],[ROI]]&gt;100%,"Hit","Flop")</f>
        <v>Flop</v>
      </c>
    </row>
    <row r="965" spans="1:20" x14ac:dyDescent="0.3">
      <c r="A965">
        <v>477</v>
      </c>
      <c r="B965" t="s">
        <v>874</v>
      </c>
      <c r="C965" t="s">
        <v>86</v>
      </c>
      <c r="D965">
        <v>1990</v>
      </c>
      <c r="E965" s="1">
        <v>33124</v>
      </c>
      <c r="F965" t="s">
        <v>23</v>
      </c>
      <c r="G965" s="2">
        <v>232662.91</v>
      </c>
      <c r="H965" s="2">
        <v>189101.62</v>
      </c>
      <c r="I965" s="2">
        <v>465127.99</v>
      </c>
      <c r="J965" s="2">
        <v>32316.3</v>
      </c>
      <c r="K965" s="2">
        <v>79262.2</v>
      </c>
      <c r="L965">
        <v>6.6</v>
      </c>
      <c r="M965">
        <v>68</v>
      </c>
      <c r="N965">
        <v>1318</v>
      </c>
      <c r="O965">
        <v>778</v>
      </c>
      <c r="P965" t="s">
        <v>649</v>
      </c>
      <c r="Q965" t="s">
        <v>678</v>
      </c>
      <c r="R965" s="2">
        <f>Table1[[#This Row],[Global_BoxOfficeUSD]]-Table1[[#This Row],[BudgetUSD]]</f>
        <v>232465.08</v>
      </c>
      <c r="S965" s="15">
        <f>Table1[[#This Row],[Profit]]/Table1[[#This Row],[BudgetUSD]]</f>
        <v>0.99914971406486741</v>
      </c>
      <c r="T965" t="str">
        <f>IF(Table1[[#This Row],[ROI]]&gt;100%,"Hit","Flop")</f>
        <v>Flop</v>
      </c>
    </row>
    <row r="966" spans="1:20" x14ac:dyDescent="0.3">
      <c r="A966">
        <v>601</v>
      </c>
      <c r="B966" t="s">
        <v>1020</v>
      </c>
      <c r="C966" t="s">
        <v>45</v>
      </c>
      <c r="D966">
        <v>1986</v>
      </c>
      <c r="E966" s="1">
        <v>31526</v>
      </c>
      <c r="F966" t="s">
        <v>23</v>
      </c>
      <c r="G966" s="2">
        <v>100000</v>
      </c>
      <c r="H966" s="2">
        <v>243686.44</v>
      </c>
      <c r="I966" s="2">
        <v>442312.1</v>
      </c>
      <c r="J966" s="2">
        <v>51695.75</v>
      </c>
      <c r="K966" s="2">
        <v>117009.54</v>
      </c>
      <c r="L966">
        <v>9.5</v>
      </c>
      <c r="M966">
        <v>94</v>
      </c>
      <c r="N966">
        <v>807</v>
      </c>
      <c r="O966">
        <v>8376</v>
      </c>
      <c r="P966" t="s">
        <v>167</v>
      </c>
      <c r="Q966" t="s">
        <v>196</v>
      </c>
      <c r="R966" s="2">
        <f>Table1[[#This Row],[Global_BoxOfficeUSD]]-Table1[[#This Row],[BudgetUSD]]</f>
        <v>342312.1</v>
      </c>
      <c r="S966" s="15">
        <f>Table1[[#This Row],[Profit]]/Table1[[#This Row],[BudgetUSD]]</f>
        <v>3.4231209999999996</v>
      </c>
      <c r="T966" t="str">
        <f>IF(Table1[[#This Row],[ROI]]&gt;100%,"Hit","Flop")</f>
        <v>Hit</v>
      </c>
    </row>
    <row r="967" spans="1:20" x14ac:dyDescent="0.3">
      <c r="A967">
        <v>881</v>
      </c>
      <c r="B967" t="s">
        <v>1110</v>
      </c>
      <c r="C967" t="s">
        <v>38</v>
      </c>
      <c r="D967">
        <v>2017</v>
      </c>
      <c r="E967" s="1">
        <v>42955</v>
      </c>
      <c r="F967" t="s">
        <v>23</v>
      </c>
      <c r="G967" s="2">
        <v>363169.81</v>
      </c>
      <c r="H967" s="2">
        <v>183631.17</v>
      </c>
      <c r="I967" s="2">
        <v>441573.09</v>
      </c>
      <c r="J967" s="2">
        <v>31139.95</v>
      </c>
      <c r="K967" s="2">
        <v>88783.34</v>
      </c>
      <c r="L967">
        <v>6.4</v>
      </c>
      <c r="M967">
        <v>59</v>
      </c>
      <c r="N967">
        <v>10235</v>
      </c>
      <c r="O967">
        <v>50</v>
      </c>
      <c r="P967" t="s">
        <v>111</v>
      </c>
      <c r="Q967" t="s">
        <v>364</v>
      </c>
      <c r="R967" s="2">
        <f>Table1[[#This Row],[Global_BoxOfficeUSD]]-Table1[[#This Row],[BudgetUSD]]</f>
        <v>78403.280000000028</v>
      </c>
      <c r="S967" s="15">
        <f>Table1[[#This Row],[Profit]]/Table1[[#This Row],[BudgetUSD]]</f>
        <v>0.21588600660390805</v>
      </c>
      <c r="T967" t="str">
        <f>IF(Table1[[#This Row],[ROI]]&gt;100%,"Hit","Flop")</f>
        <v>Flop</v>
      </c>
    </row>
    <row r="968" spans="1:20" x14ac:dyDescent="0.3">
      <c r="A968">
        <v>122</v>
      </c>
      <c r="B968" t="s">
        <v>336</v>
      </c>
      <c r="C968" t="s">
        <v>38</v>
      </c>
      <c r="D968">
        <v>1994</v>
      </c>
      <c r="E968" s="1">
        <v>34491</v>
      </c>
      <c r="F968" t="s">
        <v>139</v>
      </c>
      <c r="G968" s="2">
        <v>441449.74</v>
      </c>
      <c r="H968" s="2">
        <v>218628.34</v>
      </c>
      <c r="I968" s="2">
        <v>441449.74</v>
      </c>
      <c r="J968" s="2">
        <v>57336.77</v>
      </c>
      <c r="K968" s="2">
        <v>108152.34</v>
      </c>
      <c r="L968">
        <v>8</v>
      </c>
      <c r="M968">
        <v>68</v>
      </c>
      <c r="N968">
        <v>1198</v>
      </c>
      <c r="O968">
        <v>1553</v>
      </c>
      <c r="P968" t="s">
        <v>337</v>
      </c>
      <c r="Q968" t="s">
        <v>338</v>
      </c>
      <c r="R968" s="2">
        <f>Table1[[#This Row],[Global_BoxOfficeUSD]]-Table1[[#This Row],[BudgetUSD]]</f>
        <v>0</v>
      </c>
      <c r="S968" s="15">
        <f>Table1[[#This Row],[Profit]]/Table1[[#This Row],[BudgetUSD]]</f>
        <v>0</v>
      </c>
      <c r="T968" t="str">
        <f>IF(Table1[[#This Row],[ROI]]&gt;100%,"Hit","Flop")</f>
        <v>Flop</v>
      </c>
    </row>
    <row r="969" spans="1:20" x14ac:dyDescent="0.3">
      <c r="A969">
        <v>671</v>
      </c>
      <c r="B969" t="s">
        <v>1091</v>
      </c>
      <c r="C969" t="s">
        <v>67</v>
      </c>
      <c r="D969">
        <v>2024</v>
      </c>
      <c r="E969" s="1">
        <v>45412</v>
      </c>
      <c r="F969" t="s">
        <v>34</v>
      </c>
      <c r="G969" s="2">
        <v>153552.74</v>
      </c>
      <c r="H969" s="2">
        <v>287891.03000000003</v>
      </c>
      <c r="I969" s="2">
        <v>424376.16</v>
      </c>
      <c r="J969" s="2">
        <v>36637.089999999997</v>
      </c>
      <c r="K969" s="2">
        <v>148831.34</v>
      </c>
      <c r="L969">
        <v>6.6</v>
      </c>
      <c r="M969">
        <v>55</v>
      </c>
      <c r="N969">
        <v>14990</v>
      </c>
      <c r="O969">
        <v>806</v>
      </c>
      <c r="P969" t="s">
        <v>46</v>
      </c>
      <c r="Q969" t="s">
        <v>564</v>
      </c>
      <c r="R969" s="2">
        <f>Table1[[#This Row],[Global_BoxOfficeUSD]]-Table1[[#This Row],[BudgetUSD]]</f>
        <v>270823.42</v>
      </c>
      <c r="S969" s="15">
        <f>Table1[[#This Row],[Profit]]/Table1[[#This Row],[BudgetUSD]]</f>
        <v>1.7637159714636157</v>
      </c>
      <c r="T969" t="str">
        <f>IF(Table1[[#This Row],[ROI]]&gt;100%,"Hit","Flop")</f>
        <v>Hit</v>
      </c>
    </row>
    <row r="970" spans="1:20" x14ac:dyDescent="0.3">
      <c r="A970">
        <v>21</v>
      </c>
      <c r="B970" t="s">
        <v>85</v>
      </c>
      <c r="C970" t="s">
        <v>86</v>
      </c>
      <c r="D970">
        <v>2005</v>
      </c>
      <c r="E970" s="1">
        <v>38406</v>
      </c>
      <c r="F970" t="s">
        <v>23</v>
      </c>
      <c r="G970" s="2">
        <v>273022.95</v>
      </c>
      <c r="H970" s="2">
        <v>226835.03</v>
      </c>
      <c r="I970" s="2">
        <v>419360.89</v>
      </c>
      <c r="J970" s="2">
        <v>64754.05</v>
      </c>
      <c r="K970" s="2">
        <v>106243.16</v>
      </c>
      <c r="L970">
        <v>7</v>
      </c>
      <c r="M970">
        <v>77</v>
      </c>
      <c r="N970">
        <v>46809</v>
      </c>
      <c r="O970">
        <v>684</v>
      </c>
      <c r="P970" t="s">
        <v>87</v>
      </c>
      <c r="Q970" t="s">
        <v>88</v>
      </c>
      <c r="R970" s="2">
        <f>Table1[[#This Row],[Global_BoxOfficeUSD]]-Table1[[#This Row],[BudgetUSD]]</f>
        <v>146337.94</v>
      </c>
      <c r="S970" s="15">
        <f>Table1[[#This Row],[Profit]]/Table1[[#This Row],[BudgetUSD]]</f>
        <v>0.53599135164278311</v>
      </c>
      <c r="T970" t="str">
        <f>IF(Table1[[#This Row],[ROI]]&gt;100%,"Hit","Flop")</f>
        <v>Flop</v>
      </c>
    </row>
    <row r="971" spans="1:20" x14ac:dyDescent="0.3">
      <c r="A971">
        <v>127</v>
      </c>
      <c r="B971" t="s">
        <v>346</v>
      </c>
      <c r="C971" t="s">
        <v>67</v>
      </c>
      <c r="D971">
        <v>2014</v>
      </c>
      <c r="E971" s="1">
        <v>41787</v>
      </c>
      <c r="F971" t="s">
        <v>23</v>
      </c>
      <c r="G971" s="2">
        <v>403971.11</v>
      </c>
      <c r="H971" s="2">
        <v>207485.37</v>
      </c>
      <c r="I971" s="2">
        <v>403971.11</v>
      </c>
      <c r="J971" s="2">
        <v>38103.370000000003</v>
      </c>
      <c r="K971" s="2">
        <v>96624.31</v>
      </c>
      <c r="L971">
        <v>7.8</v>
      </c>
      <c r="M971">
        <v>87</v>
      </c>
      <c r="N971">
        <v>1998</v>
      </c>
      <c r="O971">
        <v>272</v>
      </c>
      <c r="P971" t="s">
        <v>252</v>
      </c>
      <c r="Q971" t="s">
        <v>347</v>
      </c>
      <c r="R971" s="2">
        <f>Table1[[#This Row],[Global_BoxOfficeUSD]]-Table1[[#This Row],[BudgetUSD]]</f>
        <v>0</v>
      </c>
      <c r="S971" s="15">
        <f>Table1[[#This Row],[Profit]]/Table1[[#This Row],[BudgetUSD]]</f>
        <v>0</v>
      </c>
      <c r="T971" t="str">
        <f>IF(Table1[[#This Row],[ROI]]&gt;100%,"Hit","Flop")</f>
        <v>Flop</v>
      </c>
    </row>
    <row r="972" spans="1:20" x14ac:dyDescent="0.3">
      <c r="A972">
        <v>699</v>
      </c>
      <c r="B972" t="s">
        <v>1118</v>
      </c>
      <c r="C972" t="s">
        <v>86</v>
      </c>
      <c r="D972">
        <v>1994</v>
      </c>
      <c r="E972" s="1">
        <v>34354</v>
      </c>
      <c r="F972" t="s">
        <v>34</v>
      </c>
      <c r="G972" s="2">
        <v>220273.53</v>
      </c>
      <c r="H972" s="2">
        <v>209258.77</v>
      </c>
      <c r="I972" s="2">
        <v>394203.32</v>
      </c>
      <c r="J972" s="2">
        <v>56713.87</v>
      </c>
      <c r="K972" s="2">
        <v>124157.4</v>
      </c>
      <c r="L972">
        <v>7.2</v>
      </c>
      <c r="M972">
        <v>71</v>
      </c>
      <c r="N972">
        <v>25737</v>
      </c>
      <c r="O972">
        <v>91</v>
      </c>
      <c r="P972" t="s">
        <v>441</v>
      </c>
      <c r="Q972" t="s">
        <v>593</v>
      </c>
      <c r="R972" s="2">
        <f>Table1[[#This Row],[Global_BoxOfficeUSD]]-Table1[[#This Row],[BudgetUSD]]</f>
        <v>173929.79</v>
      </c>
      <c r="S972" s="15">
        <f>Table1[[#This Row],[Profit]]/Table1[[#This Row],[BudgetUSD]]</f>
        <v>0.78960822028865663</v>
      </c>
      <c r="T972" t="str">
        <f>IF(Table1[[#This Row],[ROI]]&gt;100%,"Hit","Flop")</f>
        <v>Flop</v>
      </c>
    </row>
    <row r="973" spans="1:20" x14ac:dyDescent="0.3">
      <c r="A973">
        <v>316</v>
      </c>
      <c r="B973" t="s">
        <v>661</v>
      </c>
      <c r="C973" t="s">
        <v>45</v>
      </c>
      <c r="D973">
        <v>2004</v>
      </c>
      <c r="E973" s="1">
        <v>38258</v>
      </c>
      <c r="F973" t="s">
        <v>318</v>
      </c>
      <c r="G973" s="2">
        <v>216041.79</v>
      </c>
      <c r="H973" s="2">
        <v>199158.24</v>
      </c>
      <c r="I973" s="2">
        <v>389457.04</v>
      </c>
      <c r="J973" s="2">
        <v>59544.03</v>
      </c>
      <c r="K973" s="2">
        <v>105786.63</v>
      </c>
      <c r="L973">
        <v>5.9</v>
      </c>
      <c r="M973">
        <v>53</v>
      </c>
      <c r="N973">
        <v>1583</v>
      </c>
      <c r="O973">
        <v>11482</v>
      </c>
      <c r="P973" t="s">
        <v>20</v>
      </c>
      <c r="Q973" t="s">
        <v>662</v>
      </c>
      <c r="R973" s="2">
        <f>Table1[[#This Row],[Global_BoxOfficeUSD]]-Table1[[#This Row],[BudgetUSD]]</f>
        <v>173415.24999999997</v>
      </c>
      <c r="S973" s="15">
        <f>Table1[[#This Row],[Profit]]/Table1[[#This Row],[BudgetUSD]]</f>
        <v>0.80269308081552171</v>
      </c>
      <c r="T973" t="str">
        <f>IF(Table1[[#This Row],[ROI]]&gt;100%,"Hit","Flop")</f>
        <v>Flop</v>
      </c>
    </row>
    <row r="974" spans="1:20" x14ac:dyDescent="0.3">
      <c r="A974">
        <v>150</v>
      </c>
      <c r="B974" t="s">
        <v>388</v>
      </c>
      <c r="C974" t="s">
        <v>86</v>
      </c>
      <c r="D974">
        <v>2018</v>
      </c>
      <c r="E974" s="1">
        <v>43310</v>
      </c>
      <c r="F974" t="s">
        <v>23</v>
      </c>
      <c r="G974" s="2">
        <v>100000</v>
      </c>
      <c r="H974" s="2">
        <v>202725.55</v>
      </c>
      <c r="I974" s="2">
        <v>383806.38</v>
      </c>
      <c r="J974" s="2">
        <v>58307.7</v>
      </c>
      <c r="K974" s="2">
        <v>88747.14</v>
      </c>
      <c r="L974">
        <v>8.8000000000000007</v>
      </c>
      <c r="M974">
        <v>93</v>
      </c>
      <c r="N974">
        <v>10953</v>
      </c>
      <c r="O974">
        <v>546</v>
      </c>
      <c r="P974" t="s">
        <v>268</v>
      </c>
      <c r="Q974" t="s">
        <v>389</v>
      </c>
      <c r="R974" s="2">
        <f>Table1[[#This Row],[Global_BoxOfficeUSD]]-Table1[[#This Row],[BudgetUSD]]</f>
        <v>283806.38</v>
      </c>
      <c r="S974" s="15">
        <f>Table1[[#This Row],[Profit]]/Table1[[#This Row],[BudgetUSD]]</f>
        <v>2.8380638</v>
      </c>
      <c r="T974" t="str">
        <f>IF(Table1[[#This Row],[ROI]]&gt;100%,"Hit","Flop")</f>
        <v>Hit</v>
      </c>
    </row>
    <row r="975" spans="1:20" x14ac:dyDescent="0.3">
      <c r="A975">
        <v>495</v>
      </c>
      <c r="B975" t="s">
        <v>898</v>
      </c>
      <c r="C975" t="s">
        <v>18</v>
      </c>
      <c r="D975">
        <v>1980</v>
      </c>
      <c r="E975" s="1">
        <v>29307</v>
      </c>
      <c r="F975" t="s">
        <v>23</v>
      </c>
      <c r="G975" s="2">
        <v>100000</v>
      </c>
      <c r="H975" s="2">
        <v>199833.44</v>
      </c>
      <c r="I975" s="2">
        <v>364913.64</v>
      </c>
      <c r="J975" s="2">
        <v>43346.01</v>
      </c>
      <c r="K975" s="2">
        <v>96537.77</v>
      </c>
      <c r="L975">
        <v>7.4</v>
      </c>
      <c r="M975">
        <v>79</v>
      </c>
      <c r="N975">
        <v>921</v>
      </c>
      <c r="O975">
        <v>905</v>
      </c>
      <c r="P975" t="s">
        <v>380</v>
      </c>
      <c r="Q975" t="s">
        <v>564</v>
      </c>
      <c r="R975" s="2">
        <f>Table1[[#This Row],[Global_BoxOfficeUSD]]-Table1[[#This Row],[BudgetUSD]]</f>
        <v>264913.64</v>
      </c>
      <c r="S975" s="15">
        <f>Table1[[#This Row],[Profit]]/Table1[[#This Row],[BudgetUSD]]</f>
        <v>2.6491364000000002</v>
      </c>
      <c r="T975" t="str">
        <f>IF(Table1[[#This Row],[ROI]]&gt;100%,"Hit","Flop")</f>
        <v>Hit</v>
      </c>
    </row>
    <row r="976" spans="1:20" x14ac:dyDescent="0.3">
      <c r="A976">
        <v>510</v>
      </c>
      <c r="B976" t="s">
        <v>919</v>
      </c>
      <c r="C976" t="s">
        <v>67</v>
      </c>
      <c r="D976">
        <v>1990</v>
      </c>
      <c r="E976" s="1">
        <v>33194</v>
      </c>
      <c r="F976" t="s">
        <v>23</v>
      </c>
      <c r="G976" s="2">
        <v>348441.79</v>
      </c>
      <c r="H976" s="2">
        <v>238790.13</v>
      </c>
      <c r="I976" s="2">
        <v>348441.79</v>
      </c>
      <c r="J976" s="2">
        <v>53687.66</v>
      </c>
      <c r="K976" s="2">
        <v>107329.23</v>
      </c>
      <c r="L976">
        <v>5.8</v>
      </c>
      <c r="M976">
        <v>66</v>
      </c>
      <c r="N976">
        <v>266</v>
      </c>
      <c r="O976">
        <v>50</v>
      </c>
      <c r="P976" t="s">
        <v>252</v>
      </c>
      <c r="Q976" t="s">
        <v>331</v>
      </c>
      <c r="R976" s="2">
        <f>Table1[[#This Row],[Global_BoxOfficeUSD]]-Table1[[#This Row],[BudgetUSD]]</f>
        <v>0</v>
      </c>
      <c r="S976" s="15">
        <f>Table1[[#This Row],[Profit]]/Table1[[#This Row],[BudgetUSD]]</f>
        <v>0</v>
      </c>
      <c r="T976" t="str">
        <f>IF(Table1[[#This Row],[ROI]]&gt;100%,"Hit","Flop")</f>
        <v>Flop</v>
      </c>
    </row>
    <row r="977" spans="1:20" x14ac:dyDescent="0.3">
      <c r="A977">
        <v>548</v>
      </c>
      <c r="B977" t="s">
        <v>959</v>
      </c>
      <c r="C977" t="s">
        <v>33</v>
      </c>
      <c r="D977">
        <v>2018</v>
      </c>
      <c r="E977" s="1">
        <v>43321</v>
      </c>
      <c r="F977" t="s">
        <v>23</v>
      </c>
      <c r="G977" s="2">
        <v>111145.05</v>
      </c>
      <c r="H977" s="2">
        <v>198298.83</v>
      </c>
      <c r="I977" s="2">
        <v>347573.05</v>
      </c>
      <c r="J977" s="2">
        <v>25019.88</v>
      </c>
      <c r="K977" s="2">
        <v>92522.86</v>
      </c>
      <c r="L977">
        <v>8.6</v>
      </c>
      <c r="M977">
        <v>82</v>
      </c>
      <c r="N977">
        <v>6440</v>
      </c>
      <c r="O977">
        <v>200</v>
      </c>
      <c r="P977" t="s">
        <v>385</v>
      </c>
      <c r="Q977" t="s">
        <v>256</v>
      </c>
      <c r="R977" s="2">
        <f>Table1[[#This Row],[Global_BoxOfficeUSD]]-Table1[[#This Row],[BudgetUSD]]</f>
        <v>236428</v>
      </c>
      <c r="S977" s="15">
        <f>Table1[[#This Row],[Profit]]/Table1[[#This Row],[BudgetUSD]]</f>
        <v>2.1272022460739368</v>
      </c>
      <c r="T977" t="str">
        <f>IF(Table1[[#This Row],[ROI]]&gt;100%,"Hit","Flop")</f>
        <v>Hit</v>
      </c>
    </row>
    <row r="978" spans="1:20" x14ac:dyDescent="0.3">
      <c r="A978">
        <v>743</v>
      </c>
      <c r="B978" t="s">
        <v>1161</v>
      </c>
      <c r="C978" t="s">
        <v>38</v>
      </c>
      <c r="D978">
        <v>2017</v>
      </c>
      <c r="E978" s="1">
        <v>42947</v>
      </c>
      <c r="F978" t="s">
        <v>23</v>
      </c>
      <c r="G978" s="2">
        <v>197537.57</v>
      </c>
      <c r="H978" s="2">
        <v>175429.3</v>
      </c>
      <c r="I978" s="2">
        <v>319355.27</v>
      </c>
      <c r="J978" s="2">
        <v>29768.03</v>
      </c>
      <c r="K978" s="2">
        <v>97976.72</v>
      </c>
      <c r="L978">
        <v>6.4</v>
      </c>
      <c r="M978">
        <v>53</v>
      </c>
      <c r="N978">
        <v>555</v>
      </c>
      <c r="O978">
        <v>726</v>
      </c>
      <c r="P978" t="s">
        <v>458</v>
      </c>
      <c r="Q978" t="s">
        <v>59</v>
      </c>
      <c r="R978" s="2">
        <f>Table1[[#This Row],[Global_BoxOfficeUSD]]-Table1[[#This Row],[BudgetUSD]]</f>
        <v>121817.70000000001</v>
      </c>
      <c r="S978" s="15">
        <f>Table1[[#This Row],[Profit]]/Table1[[#This Row],[BudgetUSD]]</f>
        <v>0.61668117108051901</v>
      </c>
      <c r="T978" t="str">
        <f>IF(Table1[[#This Row],[ROI]]&gt;100%,"Hit","Flop")</f>
        <v>Flop</v>
      </c>
    </row>
    <row r="979" spans="1:20" x14ac:dyDescent="0.3">
      <c r="A979">
        <v>177</v>
      </c>
      <c r="B979" t="s">
        <v>449</v>
      </c>
      <c r="C979" t="s">
        <v>18</v>
      </c>
      <c r="D979">
        <v>1990</v>
      </c>
      <c r="E979" s="1">
        <v>33041</v>
      </c>
      <c r="F979" t="s">
        <v>23</v>
      </c>
      <c r="G979" s="2">
        <v>174876.06</v>
      </c>
      <c r="H979" s="2">
        <v>208121.79</v>
      </c>
      <c r="I979" s="2">
        <v>315031.59000000003</v>
      </c>
      <c r="J979" s="2">
        <v>59323.58</v>
      </c>
      <c r="K979" s="2">
        <v>86429.08</v>
      </c>
      <c r="L979">
        <v>8.8000000000000007</v>
      </c>
      <c r="M979">
        <v>80</v>
      </c>
      <c r="N979">
        <v>2946</v>
      </c>
      <c r="O979">
        <v>466</v>
      </c>
      <c r="P979" t="s">
        <v>450</v>
      </c>
      <c r="Q979" t="s">
        <v>451</v>
      </c>
      <c r="R979" s="2">
        <f>Table1[[#This Row],[Global_BoxOfficeUSD]]-Table1[[#This Row],[BudgetUSD]]</f>
        <v>140155.53000000003</v>
      </c>
      <c r="S979" s="15">
        <f>Table1[[#This Row],[Profit]]/Table1[[#This Row],[BudgetUSD]]</f>
        <v>0.80145635714802832</v>
      </c>
      <c r="T979" t="str">
        <f>IF(Table1[[#This Row],[ROI]]&gt;100%,"Hit","Flop")</f>
        <v>Flop</v>
      </c>
    </row>
    <row r="980" spans="1:20" x14ac:dyDescent="0.3">
      <c r="A980">
        <v>135</v>
      </c>
      <c r="B980" t="s">
        <v>361</v>
      </c>
      <c r="C980" t="s">
        <v>18</v>
      </c>
      <c r="D980">
        <v>2017</v>
      </c>
      <c r="E980" s="1">
        <v>42758</v>
      </c>
      <c r="F980" t="s">
        <v>318</v>
      </c>
      <c r="G980" s="2">
        <v>168424.47</v>
      </c>
      <c r="H980" s="2">
        <v>212657.28</v>
      </c>
      <c r="I980" s="2">
        <v>305306</v>
      </c>
      <c r="J980" s="2">
        <v>55217.29</v>
      </c>
      <c r="K980" s="2">
        <v>113766.43</v>
      </c>
      <c r="L980">
        <v>6.7</v>
      </c>
      <c r="M980">
        <v>82</v>
      </c>
      <c r="N980">
        <v>1717</v>
      </c>
      <c r="O980">
        <v>1037</v>
      </c>
      <c r="P980" t="s">
        <v>362</v>
      </c>
      <c r="Q980" t="s">
        <v>314</v>
      </c>
      <c r="R980" s="2">
        <f>Table1[[#This Row],[Global_BoxOfficeUSD]]-Table1[[#This Row],[BudgetUSD]]</f>
        <v>136881.53</v>
      </c>
      <c r="S980" s="15">
        <f>Table1[[#This Row],[Profit]]/Table1[[#This Row],[BudgetUSD]]</f>
        <v>0.81271759382707276</v>
      </c>
      <c r="T980" t="str">
        <f>IF(Table1[[#This Row],[ROI]]&gt;100%,"Hit","Flop")</f>
        <v>Flop</v>
      </c>
    </row>
    <row r="981" spans="1:20" x14ac:dyDescent="0.3">
      <c r="A981">
        <v>564</v>
      </c>
      <c r="B981" t="s">
        <v>976</v>
      </c>
      <c r="C981" t="s">
        <v>107</v>
      </c>
      <c r="D981">
        <v>2025</v>
      </c>
      <c r="E981" s="1">
        <v>45995</v>
      </c>
      <c r="F981" t="s">
        <v>249</v>
      </c>
      <c r="G981" s="2">
        <v>219174.69</v>
      </c>
      <c r="H981" s="2">
        <v>129699.49</v>
      </c>
      <c r="I981" s="2">
        <v>290706.74</v>
      </c>
      <c r="J981" s="2">
        <v>29572.35</v>
      </c>
      <c r="K981" s="2">
        <v>58088.08</v>
      </c>
      <c r="L981">
        <v>6.5</v>
      </c>
      <c r="M981">
        <v>70</v>
      </c>
      <c r="N981">
        <v>12019</v>
      </c>
      <c r="O981">
        <v>154</v>
      </c>
      <c r="P981" t="s">
        <v>649</v>
      </c>
      <c r="Q981" t="s">
        <v>190</v>
      </c>
      <c r="R981" s="2">
        <f>Table1[[#This Row],[Global_BoxOfficeUSD]]-Table1[[#This Row],[BudgetUSD]]</f>
        <v>71532.049999999988</v>
      </c>
      <c r="S981" s="15">
        <f>Table1[[#This Row],[Profit]]/Table1[[#This Row],[BudgetUSD]]</f>
        <v>0.32637002931314735</v>
      </c>
      <c r="T981" t="str">
        <f>IF(Table1[[#This Row],[ROI]]&gt;100%,"Hit","Flop")</f>
        <v>Flop</v>
      </c>
    </row>
    <row r="982" spans="1:20" x14ac:dyDescent="0.3">
      <c r="A982">
        <v>910</v>
      </c>
      <c r="B982" t="s">
        <v>1320</v>
      </c>
      <c r="C982" t="s">
        <v>18</v>
      </c>
      <c r="D982">
        <v>1958</v>
      </c>
      <c r="E982" s="1">
        <v>21257</v>
      </c>
      <c r="F982" t="s">
        <v>139</v>
      </c>
      <c r="G982" s="2">
        <v>110352.51</v>
      </c>
      <c r="H982" s="2">
        <v>169277.68</v>
      </c>
      <c r="I982" s="2">
        <v>276515.12</v>
      </c>
      <c r="J982" s="2">
        <v>24609.79</v>
      </c>
      <c r="K982" s="2">
        <v>72459.960000000006</v>
      </c>
      <c r="L982">
        <v>6.2</v>
      </c>
      <c r="M982">
        <v>36</v>
      </c>
      <c r="N982">
        <v>776</v>
      </c>
      <c r="O982">
        <v>5322</v>
      </c>
      <c r="P982" t="s">
        <v>90</v>
      </c>
      <c r="Q982" t="s">
        <v>342</v>
      </c>
      <c r="R982" s="2">
        <f>Table1[[#This Row],[Global_BoxOfficeUSD]]-Table1[[#This Row],[BudgetUSD]]</f>
        <v>166162.60999999999</v>
      </c>
      <c r="S982" s="15">
        <f>Table1[[#This Row],[Profit]]/Table1[[#This Row],[BudgetUSD]]</f>
        <v>1.5057438204169529</v>
      </c>
      <c r="T982" t="str">
        <f>IF(Table1[[#This Row],[ROI]]&gt;100%,"Hit","Flop")</f>
        <v>Hit</v>
      </c>
    </row>
    <row r="983" spans="1:20" x14ac:dyDescent="0.3">
      <c r="A983">
        <v>520</v>
      </c>
      <c r="B983" t="s">
        <v>927</v>
      </c>
      <c r="C983" t="s">
        <v>86</v>
      </c>
      <c r="D983">
        <v>1969</v>
      </c>
      <c r="E983" s="1">
        <v>25474</v>
      </c>
      <c r="F983" t="s">
        <v>23</v>
      </c>
      <c r="G983" s="2">
        <v>204897.55</v>
      </c>
      <c r="H983" s="2">
        <v>118933.93</v>
      </c>
      <c r="I983" s="2">
        <v>264294.86</v>
      </c>
      <c r="J983" s="2">
        <v>23823.119999999999</v>
      </c>
      <c r="K983" s="2">
        <v>49414.85</v>
      </c>
      <c r="L983">
        <v>6.1</v>
      </c>
      <c r="M983">
        <v>59</v>
      </c>
      <c r="N983">
        <v>7302</v>
      </c>
      <c r="O983">
        <v>50</v>
      </c>
      <c r="P983" t="s">
        <v>769</v>
      </c>
      <c r="Q983" t="s">
        <v>747</v>
      </c>
      <c r="R983" s="2">
        <f>Table1[[#This Row],[Global_BoxOfficeUSD]]-Table1[[#This Row],[BudgetUSD]]</f>
        <v>59397.31</v>
      </c>
      <c r="S983" s="15">
        <f>Table1[[#This Row],[Profit]]/Table1[[#This Row],[BudgetUSD]]</f>
        <v>0.28988784882981766</v>
      </c>
      <c r="T983" t="str">
        <f>IF(Table1[[#This Row],[ROI]]&gt;100%,"Hit","Flop")</f>
        <v>Flop</v>
      </c>
    </row>
    <row r="984" spans="1:20" x14ac:dyDescent="0.3">
      <c r="A984">
        <v>229</v>
      </c>
      <c r="B984" t="s">
        <v>539</v>
      </c>
      <c r="C984" t="s">
        <v>18</v>
      </c>
      <c r="D984">
        <v>2023</v>
      </c>
      <c r="E984" s="1">
        <v>45053</v>
      </c>
      <c r="F984" t="s">
        <v>23</v>
      </c>
      <c r="G984" s="2">
        <v>263949.06</v>
      </c>
      <c r="H984" s="2">
        <v>115595.39</v>
      </c>
      <c r="I984" s="2">
        <v>263949.06</v>
      </c>
      <c r="J984" s="2">
        <v>21433.25</v>
      </c>
      <c r="K984" s="2">
        <v>62900.91</v>
      </c>
      <c r="L984">
        <v>5.0999999999999996</v>
      </c>
      <c r="M984">
        <v>64</v>
      </c>
      <c r="N984">
        <v>1386</v>
      </c>
      <c r="O984">
        <v>485</v>
      </c>
      <c r="P984" t="s">
        <v>240</v>
      </c>
      <c r="Q984" t="s">
        <v>308</v>
      </c>
      <c r="R984" s="2">
        <f>Table1[[#This Row],[Global_BoxOfficeUSD]]-Table1[[#This Row],[BudgetUSD]]</f>
        <v>0</v>
      </c>
      <c r="S984" s="15">
        <f>Table1[[#This Row],[Profit]]/Table1[[#This Row],[BudgetUSD]]</f>
        <v>0</v>
      </c>
      <c r="T984" t="str">
        <f>IF(Table1[[#This Row],[ROI]]&gt;100%,"Hit","Flop")</f>
        <v>Flop</v>
      </c>
    </row>
    <row r="985" spans="1:20" x14ac:dyDescent="0.3">
      <c r="A985">
        <v>542</v>
      </c>
      <c r="B985" t="s">
        <v>953</v>
      </c>
      <c r="C985" t="s">
        <v>86</v>
      </c>
      <c r="D985">
        <v>2005</v>
      </c>
      <c r="E985" s="1">
        <v>38452</v>
      </c>
      <c r="F985" t="s">
        <v>267</v>
      </c>
      <c r="G985" s="2">
        <v>263614.84999999998</v>
      </c>
      <c r="H985" s="2">
        <v>159140.21</v>
      </c>
      <c r="I985" s="2">
        <v>263614.84999999998</v>
      </c>
      <c r="J985" s="2">
        <v>20455.03</v>
      </c>
      <c r="K985" s="2">
        <v>81954.27</v>
      </c>
      <c r="L985">
        <v>7</v>
      </c>
      <c r="M985">
        <v>67</v>
      </c>
      <c r="N985">
        <v>703</v>
      </c>
      <c r="O985">
        <v>2832</v>
      </c>
      <c r="P985" t="s">
        <v>396</v>
      </c>
      <c r="Q985" t="s">
        <v>118</v>
      </c>
      <c r="R985" s="2">
        <f>Table1[[#This Row],[Global_BoxOfficeUSD]]-Table1[[#This Row],[BudgetUSD]]</f>
        <v>0</v>
      </c>
      <c r="S985" s="15">
        <f>Table1[[#This Row],[Profit]]/Table1[[#This Row],[BudgetUSD]]</f>
        <v>0</v>
      </c>
      <c r="T985" t="str">
        <f>IF(Table1[[#This Row],[ROI]]&gt;100%,"Hit","Flop")</f>
        <v>Flop</v>
      </c>
    </row>
    <row r="986" spans="1:20" x14ac:dyDescent="0.3">
      <c r="A986">
        <v>777</v>
      </c>
      <c r="B986" t="s">
        <v>1198</v>
      </c>
      <c r="C986" t="s">
        <v>38</v>
      </c>
      <c r="D986">
        <v>1968</v>
      </c>
      <c r="E986" s="1">
        <v>24941</v>
      </c>
      <c r="F986" t="s">
        <v>23</v>
      </c>
      <c r="G986" s="2">
        <v>139861.98000000001</v>
      </c>
      <c r="H986" s="2">
        <v>167599.46</v>
      </c>
      <c r="I986" s="2">
        <v>255661.59</v>
      </c>
      <c r="J986" s="2">
        <v>38664.050000000003</v>
      </c>
      <c r="K986" s="2">
        <v>87678.97</v>
      </c>
      <c r="L986">
        <v>7.3</v>
      </c>
      <c r="M986">
        <v>56</v>
      </c>
      <c r="N986">
        <v>4522</v>
      </c>
      <c r="O986">
        <v>1774</v>
      </c>
      <c r="P986" t="s">
        <v>441</v>
      </c>
      <c r="Q986" t="s">
        <v>662</v>
      </c>
      <c r="R986" s="2">
        <f>Table1[[#This Row],[Global_BoxOfficeUSD]]-Table1[[#This Row],[BudgetUSD]]</f>
        <v>115799.60999999999</v>
      </c>
      <c r="S986" s="15">
        <f>Table1[[#This Row],[Profit]]/Table1[[#This Row],[BudgetUSD]]</f>
        <v>0.82795631807872283</v>
      </c>
      <c r="T986" t="str">
        <f>IF(Table1[[#This Row],[ROI]]&gt;100%,"Hit","Flop")</f>
        <v>Flop</v>
      </c>
    </row>
    <row r="987" spans="1:20" x14ac:dyDescent="0.3">
      <c r="A987">
        <v>789</v>
      </c>
      <c r="B987" t="s">
        <v>1209</v>
      </c>
      <c r="C987" t="s">
        <v>33</v>
      </c>
      <c r="D987">
        <v>2017</v>
      </c>
      <c r="E987" s="1">
        <v>42841</v>
      </c>
      <c r="F987" t="s">
        <v>34</v>
      </c>
      <c r="G987" s="2">
        <v>100000</v>
      </c>
      <c r="H987" s="2">
        <v>167625.70000000001</v>
      </c>
      <c r="I987" s="2">
        <v>247281.26</v>
      </c>
      <c r="J987" s="2">
        <v>25207.46</v>
      </c>
      <c r="K987" s="2">
        <v>84543.9</v>
      </c>
      <c r="L987">
        <v>6.6</v>
      </c>
      <c r="M987">
        <v>51</v>
      </c>
      <c r="N987">
        <v>282</v>
      </c>
      <c r="O987">
        <v>314</v>
      </c>
      <c r="P987" t="s">
        <v>264</v>
      </c>
      <c r="Q987" t="s">
        <v>25</v>
      </c>
      <c r="R987" s="2">
        <f>Table1[[#This Row],[Global_BoxOfficeUSD]]-Table1[[#This Row],[BudgetUSD]]</f>
        <v>147281.26</v>
      </c>
      <c r="S987" s="15">
        <f>Table1[[#This Row],[Profit]]/Table1[[#This Row],[BudgetUSD]]</f>
        <v>1.4728126000000001</v>
      </c>
      <c r="T987" t="str">
        <f>IF(Table1[[#This Row],[ROI]]&gt;100%,"Hit","Flop")</f>
        <v>Hit</v>
      </c>
    </row>
    <row r="988" spans="1:20" x14ac:dyDescent="0.3">
      <c r="A988">
        <v>727</v>
      </c>
      <c r="B988" t="s">
        <v>1145</v>
      </c>
      <c r="C988" t="s">
        <v>45</v>
      </c>
      <c r="D988">
        <v>2008</v>
      </c>
      <c r="E988" s="1">
        <v>39723</v>
      </c>
      <c r="F988" t="s">
        <v>23</v>
      </c>
      <c r="G988" s="2">
        <v>100000</v>
      </c>
      <c r="H988" s="2">
        <v>123881.95</v>
      </c>
      <c r="I988" s="2">
        <v>246369.4</v>
      </c>
      <c r="J988" s="2">
        <v>30055.03</v>
      </c>
      <c r="K988" s="2">
        <v>73953.14</v>
      </c>
      <c r="L988">
        <v>7.9</v>
      </c>
      <c r="M988">
        <v>66</v>
      </c>
      <c r="N988">
        <v>857</v>
      </c>
      <c r="O988">
        <v>50</v>
      </c>
      <c r="P988" t="s">
        <v>161</v>
      </c>
      <c r="Q988" t="s">
        <v>907</v>
      </c>
      <c r="R988" s="2">
        <f>Table1[[#This Row],[Global_BoxOfficeUSD]]-Table1[[#This Row],[BudgetUSD]]</f>
        <v>146369.4</v>
      </c>
      <c r="S988" s="15">
        <f>Table1[[#This Row],[Profit]]/Table1[[#This Row],[BudgetUSD]]</f>
        <v>1.4636940000000001</v>
      </c>
      <c r="T988" t="str">
        <f>IF(Table1[[#This Row],[ROI]]&gt;100%,"Hit","Flop")</f>
        <v>Hit</v>
      </c>
    </row>
    <row r="989" spans="1:20" x14ac:dyDescent="0.3">
      <c r="A989">
        <v>291</v>
      </c>
      <c r="B989" t="s">
        <v>629</v>
      </c>
      <c r="C989" t="s">
        <v>67</v>
      </c>
      <c r="D989">
        <v>1966</v>
      </c>
      <c r="E989" s="1">
        <v>24391</v>
      </c>
      <c r="F989" t="s">
        <v>23</v>
      </c>
      <c r="G989" s="2">
        <v>136497.62</v>
      </c>
      <c r="H989" s="2">
        <v>127704.67</v>
      </c>
      <c r="I989" s="2">
        <v>245198.02</v>
      </c>
      <c r="J989" s="2">
        <v>36234.57</v>
      </c>
      <c r="K989" s="2">
        <v>67258.91</v>
      </c>
      <c r="L989">
        <v>8.6999999999999993</v>
      </c>
      <c r="M989">
        <v>86</v>
      </c>
      <c r="N989">
        <v>985</v>
      </c>
      <c r="O989">
        <v>6677</v>
      </c>
      <c r="P989" t="s">
        <v>436</v>
      </c>
      <c r="Q989" t="s">
        <v>75</v>
      </c>
      <c r="R989" s="2">
        <f>Table1[[#This Row],[Global_BoxOfficeUSD]]-Table1[[#This Row],[BudgetUSD]]</f>
        <v>108700.4</v>
      </c>
      <c r="S989" s="15">
        <f>Table1[[#This Row],[Profit]]/Table1[[#This Row],[BudgetUSD]]</f>
        <v>0.79635381188331344</v>
      </c>
      <c r="T989" t="str">
        <f>IF(Table1[[#This Row],[ROI]]&gt;100%,"Hit","Flop")</f>
        <v>Flop</v>
      </c>
    </row>
    <row r="990" spans="1:20" x14ac:dyDescent="0.3">
      <c r="A990">
        <v>990</v>
      </c>
      <c r="B990" t="s">
        <v>1400</v>
      </c>
      <c r="C990" t="s">
        <v>38</v>
      </c>
      <c r="D990">
        <v>1988</v>
      </c>
      <c r="E990" s="1">
        <v>32195</v>
      </c>
      <c r="F990" t="s">
        <v>23</v>
      </c>
      <c r="G990" s="2">
        <v>116023.98</v>
      </c>
      <c r="H990" s="2">
        <v>106027.14</v>
      </c>
      <c r="I990" s="2">
        <v>244877.08</v>
      </c>
      <c r="J990" s="2">
        <v>29570.23</v>
      </c>
      <c r="K990" s="2">
        <v>45048.34</v>
      </c>
      <c r="L990">
        <v>7.2</v>
      </c>
      <c r="M990">
        <v>84</v>
      </c>
      <c r="N990">
        <v>3444</v>
      </c>
      <c r="O990">
        <v>8101</v>
      </c>
      <c r="P990" t="s">
        <v>120</v>
      </c>
      <c r="Q990" t="s">
        <v>535</v>
      </c>
      <c r="R990" s="2">
        <f>Table1[[#This Row],[Global_BoxOfficeUSD]]-Table1[[#This Row],[BudgetUSD]]</f>
        <v>128853.09999999999</v>
      </c>
      <c r="S990" s="15">
        <f>Table1[[#This Row],[Profit]]/Table1[[#This Row],[BudgetUSD]]</f>
        <v>1.1105730039600434</v>
      </c>
      <c r="T990" t="str">
        <f>IF(Table1[[#This Row],[ROI]]&gt;100%,"Hit","Flop")</f>
        <v>Hit</v>
      </c>
    </row>
    <row r="991" spans="1:20" x14ac:dyDescent="0.3">
      <c r="A991">
        <v>874</v>
      </c>
      <c r="B991" t="s">
        <v>1026</v>
      </c>
      <c r="C991" t="s">
        <v>77</v>
      </c>
      <c r="D991">
        <v>1974</v>
      </c>
      <c r="E991" s="1">
        <v>27313</v>
      </c>
      <c r="F991" t="s">
        <v>23</v>
      </c>
      <c r="G991" s="2">
        <v>195992.01</v>
      </c>
      <c r="H991" s="2">
        <v>94113.24</v>
      </c>
      <c r="I991" s="2">
        <v>195992.01</v>
      </c>
      <c r="J991" s="2">
        <v>25487.82</v>
      </c>
      <c r="K991" s="2">
        <v>51151.98</v>
      </c>
      <c r="L991">
        <v>6.2</v>
      </c>
      <c r="M991">
        <v>65</v>
      </c>
      <c r="N991">
        <v>6358</v>
      </c>
      <c r="O991">
        <v>50</v>
      </c>
      <c r="P991" t="s">
        <v>441</v>
      </c>
      <c r="Q991" t="s">
        <v>69</v>
      </c>
      <c r="R991" s="2">
        <f>Table1[[#This Row],[Global_BoxOfficeUSD]]-Table1[[#This Row],[BudgetUSD]]</f>
        <v>0</v>
      </c>
      <c r="S991" s="15">
        <f>Table1[[#This Row],[Profit]]/Table1[[#This Row],[BudgetUSD]]</f>
        <v>0</v>
      </c>
      <c r="T991" t="str">
        <f>IF(Table1[[#This Row],[ROI]]&gt;100%,"Hit","Flop")</f>
        <v>Flop</v>
      </c>
    </row>
    <row r="992" spans="1:20" x14ac:dyDescent="0.3">
      <c r="A992">
        <v>732</v>
      </c>
      <c r="B992" t="s">
        <v>1149</v>
      </c>
      <c r="C992" t="s">
        <v>67</v>
      </c>
      <c r="D992">
        <v>2012</v>
      </c>
      <c r="E992" s="1">
        <v>41054</v>
      </c>
      <c r="F992" t="s">
        <v>23</v>
      </c>
      <c r="G992" s="2">
        <v>100000</v>
      </c>
      <c r="H992" s="2">
        <v>114358.72</v>
      </c>
      <c r="I992" s="2">
        <v>194777.29</v>
      </c>
      <c r="J992" s="2">
        <v>31786.25</v>
      </c>
      <c r="K992" s="2">
        <v>49080.58</v>
      </c>
      <c r="L992">
        <v>6.5</v>
      </c>
      <c r="M992">
        <v>70</v>
      </c>
      <c r="N992">
        <v>9400</v>
      </c>
      <c r="O992">
        <v>1520</v>
      </c>
      <c r="P992" t="s">
        <v>530</v>
      </c>
      <c r="Q992" t="s">
        <v>871</v>
      </c>
      <c r="R992" s="2">
        <f>Table1[[#This Row],[Global_BoxOfficeUSD]]-Table1[[#This Row],[BudgetUSD]]</f>
        <v>94777.290000000008</v>
      </c>
      <c r="S992" s="15">
        <f>Table1[[#This Row],[Profit]]/Table1[[#This Row],[BudgetUSD]]</f>
        <v>0.94777290000000003</v>
      </c>
      <c r="T992" t="str">
        <f>IF(Table1[[#This Row],[ROI]]&gt;100%,"Hit","Flop")</f>
        <v>Flop</v>
      </c>
    </row>
    <row r="993" spans="1:20" x14ac:dyDescent="0.3">
      <c r="A993">
        <v>35</v>
      </c>
      <c r="B993" t="s">
        <v>125</v>
      </c>
      <c r="C993" t="s">
        <v>38</v>
      </c>
      <c r="D993">
        <v>2021</v>
      </c>
      <c r="E993" s="1">
        <v>44423</v>
      </c>
      <c r="F993" t="s">
        <v>23</v>
      </c>
      <c r="G993" s="2">
        <v>100000</v>
      </c>
      <c r="H993" s="2">
        <v>115654.78</v>
      </c>
      <c r="I993" s="2">
        <v>193622.56</v>
      </c>
      <c r="J993" s="2">
        <v>33823.660000000003</v>
      </c>
      <c r="K993" s="2">
        <v>50853.38</v>
      </c>
      <c r="L993">
        <v>6.7</v>
      </c>
      <c r="M993">
        <v>78</v>
      </c>
      <c r="N993">
        <v>4570</v>
      </c>
      <c r="O993">
        <v>1065</v>
      </c>
      <c r="P993" t="s">
        <v>126</v>
      </c>
      <c r="Q993" t="s">
        <v>127</v>
      </c>
      <c r="R993" s="2">
        <f>Table1[[#This Row],[Global_BoxOfficeUSD]]-Table1[[#This Row],[BudgetUSD]]</f>
        <v>93622.56</v>
      </c>
      <c r="S993" s="15">
        <f>Table1[[#This Row],[Profit]]/Table1[[#This Row],[BudgetUSD]]</f>
        <v>0.93622559999999999</v>
      </c>
      <c r="T993" t="str">
        <f>IF(Table1[[#This Row],[ROI]]&gt;100%,"Hit","Flop")</f>
        <v>Flop</v>
      </c>
    </row>
    <row r="994" spans="1:20" x14ac:dyDescent="0.3">
      <c r="A994">
        <v>287</v>
      </c>
      <c r="B994" t="s">
        <v>624</v>
      </c>
      <c r="C994" t="s">
        <v>107</v>
      </c>
      <c r="D994">
        <v>2007</v>
      </c>
      <c r="E994" s="1">
        <v>39301</v>
      </c>
      <c r="F994" t="s">
        <v>249</v>
      </c>
      <c r="G994" s="2">
        <v>106101.04</v>
      </c>
      <c r="H994" s="2">
        <v>86778.8</v>
      </c>
      <c r="I994" s="2">
        <v>192499.79</v>
      </c>
      <c r="J994" s="2">
        <v>23248.46</v>
      </c>
      <c r="K994" s="2">
        <v>48261.05</v>
      </c>
      <c r="L994">
        <v>8.1</v>
      </c>
      <c r="M994">
        <v>85</v>
      </c>
      <c r="N994">
        <v>10175</v>
      </c>
      <c r="O994">
        <v>58</v>
      </c>
      <c r="P994" t="s">
        <v>344</v>
      </c>
      <c r="Q994" t="s">
        <v>162</v>
      </c>
      <c r="R994" s="2">
        <f>Table1[[#This Row],[Global_BoxOfficeUSD]]-Table1[[#This Row],[BudgetUSD]]</f>
        <v>86398.750000000015</v>
      </c>
      <c r="S994" s="15">
        <f>Table1[[#This Row],[Profit]]/Table1[[#This Row],[BudgetUSD]]</f>
        <v>0.81430634421679582</v>
      </c>
      <c r="T994" t="str">
        <f>IF(Table1[[#This Row],[ROI]]&gt;100%,"Hit","Flop")</f>
        <v>Flop</v>
      </c>
    </row>
    <row r="995" spans="1:20" x14ac:dyDescent="0.3">
      <c r="A995">
        <v>848</v>
      </c>
      <c r="B995" t="s">
        <v>1102</v>
      </c>
      <c r="C995" t="s">
        <v>18</v>
      </c>
      <c r="D995">
        <v>2020</v>
      </c>
      <c r="E995" s="1">
        <v>44179</v>
      </c>
      <c r="F995" t="s">
        <v>139</v>
      </c>
      <c r="G995" s="2">
        <v>137685.79999999999</v>
      </c>
      <c r="H995" s="2">
        <v>90152.43</v>
      </c>
      <c r="I995" s="2">
        <v>179395.27</v>
      </c>
      <c r="J995" s="2">
        <v>23626.1</v>
      </c>
      <c r="K995" s="2">
        <v>52974.73</v>
      </c>
      <c r="L995">
        <v>6.6</v>
      </c>
      <c r="M995">
        <v>67</v>
      </c>
      <c r="N995">
        <v>40831</v>
      </c>
      <c r="O995">
        <v>707</v>
      </c>
      <c r="P995" t="s">
        <v>71</v>
      </c>
      <c r="Q995" t="s">
        <v>922</v>
      </c>
      <c r="R995" s="2">
        <f>Table1[[#This Row],[Global_BoxOfficeUSD]]-Table1[[#This Row],[BudgetUSD]]</f>
        <v>41709.47</v>
      </c>
      <c r="S995" s="15">
        <f>Table1[[#This Row],[Profit]]/Table1[[#This Row],[BudgetUSD]]</f>
        <v>0.30293225590438522</v>
      </c>
      <c r="T995" t="str">
        <f>IF(Table1[[#This Row],[ROI]]&gt;100%,"Hit","Flop")</f>
        <v>Flop</v>
      </c>
    </row>
    <row r="996" spans="1:20" x14ac:dyDescent="0.3">
      <c r="A996">
        <v>384</v>
      </c>
      <c r="B996" t="s">
        <v>757</v>
      </c>
      <c r="C996" t="s">
        <v>18</v>
      </c>
      <c r="D996">
        <v>2015</v>
      </c>
      <c r="E996" s="1">
        <v>42241</v>
      </c>
      <c r="F996" t="s">
        <v>318</v>
      </c>
      <c r="G996" s="2">
        <v>105722.08</v>
      </c>
      <c r="H996" s="2">
        <v>98733.759999999995</v>
      </c>
      <c r="I996" s="2">
        <v>175205.04</v>
      </c>
      <c r="J996" s="2">
        <v>10946.13</v>
      </c>
      <c r="K996" s="2">
        <v>42471.83</v>
      </c>
      <c r="L996">
        <v>5</v>
      </c>
      <c r="M996">
        <v>65</v>
      </c>
      <c r="N996">
        <v>3181</v>
      </c>
      <c r="O996">
        <v>13409</v>
      </c>
      <c r="P996" t="s">
        <v>35</v>
      </c>
      <c r="Q996" t="s">
        <v>758</v>
      </c>
      <c r="R996" s="2">
        <f>Table1[[#This Row],[Global_BoxOfficeUSD]]-Table1[[#This Row],[BudgetUSD]]</f>
        <v>69482.960000000006</v>
      </c>
      <c r="S996" s="15">
        <f>Table1[[#This Row],[Profit]]/Table1[[#This Row],[BudgetUSD]]</f>
        <v>0.65722278638483089</v>
      </c>
      <c r="T996" t="str">
        <f>IF(Table1[[#This Row],[ROI]]&gt;100%,"Hit","Flop")</f>
        <v>Flop</v>
      </c>
    </row>
    <row r="997" spans="1:20" x14ac:dyDescent="0.3">
      <c r="A997">
        <v>185</v>
      </c>
      <c r="B997" t="s">
        <v>398</v>
      </c>
      <c r="C997" t="s">
        <v>77</v>
      </c>
      <c r="D997">
        <v>2007</v>
      </c>
      <c r="E997" s="1">
        <v>39374</v>
      </c>
      <c r="F997" t="s">
        <v>249</v>
      </c>
      <c r="G997" s="2">
        <v>169917.16</v>
      </c>
      <c r="H997" s="2">
        <v>98945.47</v>
      </c>
      <c r="I997" s="2">
        <v>169917.16</v>
      </c>
      <c r="J997" s="2">
        <v>11770.14</v>
      </c>
      <c r="K997" s="2">
        <v>57667.72</v>
      </c>
      <c r="L997">
        <v>6.7</v>
      </c>
      <c r="M997">
        <v>47</v>
      </c>
      <c r="N997">
        <v>4298</v>
      </c>
      <c r="O997">
        <v>317</v>
      </c>
      <c r="P997" t="s">
        <v>114</v>
      </c>
      <c r="Q997" t="s">
        <v>464</v>
      </c>
      <c r="R997" s="2">
        <f>Table1[[#This Row],[Global_BoxOfficeUSD]]-Table1[[#This Row],[BudgetUSD]]</f>
        <v>0</v>
      </c>
      <c r="S997" s="15">
        <f>Table1[[#This Row],[Profit]]/Table1[[#This Row],[BudgetUSD]]</f>
        <v>0</v>
      </c>
      <c r="T997" t="str">
        <f>IF(Table1[[#This Row],[ROI]]&gt;100%,"Hit","Flop")</f>
        <v>Flop</v>
      </c>
    </row>
    <row r="998" spans="1:20" x14ac:dyDescent="0.3">
      <c r="A998">
        <v>416</v>
      </c>
      <c r="B998" t="s">
        <v>797</v>
      </c>
      <c r="C998" t="s">
        <v>45</v>
      </c>
      <c r="D998">
        <v>2011</v>
      </c>
      <c r="E998" s="1">
        <v>40731</v>
      </c>
      <c r="F998" t="s">
        <v>23</v>
      </c>
      <c r="G998" s="2">
        <v>102157.13</v>
      </c>
      <c r="H998" s="2">
        <v>50782.67</v>
      </c>
      <c r="I998" s="2">
        <v>114703.98</v>
      </c>
      <c r="J998" s="2">
        <v>7154.13</v>
      </c>
      <c r="K998" s="2">
        <v>23353.71</v>
      </c>
      <c r="L998">
        <v>5.5</v>
      </c>
      <c r="M998">
        <v>49</v>
      </c>
      <c r="N998">
        <v>128194</v>
      </c>
      <c r="O998">
        <v>1935</v>
      </c>
      <c r="P998" t="s">
        <v>393</v>
      </c>
      <c r="Q998" t="s">
        <v>222</v>
      </c>
      <c r="R998" s="2">
        <f>Table1[[#This Row],[Global_BoxOfficeUSD]]-Table1[[#This Row],[BudgetUSD]]</f>
        <v>12546.849999999991</v>
      </c>
      <c r="S998" s="15">
        <f>Table1[[#This Row],[Profit]]/Table1[[#This Row],[BudgetUSD]]</f>
        <v>0.12281913166511227</v>
      </c>
      <c r="T998" t="str">
        <f>IF(Table1[[#This Row],[ROI]]&gt;100%,"Hit","Flop")</f>
        <v>Flop</v>
      </c>
    </row>
    <row r="999" spans="1:20" x14ac:dyDescent="0.3">
      <c r="A999">
        <v>643</v>
      </c>
      <c r="B999" t="s">
        <v>1063</v>
      </c>
      <c r="C999" t="s">
        <v>77</v>
      </c>
      <c r="D999">
        <v>2011</v>
      </c>
      <c r="E999" s="1">
        <v>40735</v>
      </c>
      <c r="F999" t="s">
        <v>19</v>
      </c>
      <c r="G999" s="2">
        <v>100000</v>
      </c>
      <c r="H999" s="2">
        <v>50768.15</v>
      </c>
      <c r="I999" s="2">
        <v>100000</v>
      </c>
      <c r="J999" s="2">
        <v>9159.99</v>
      </c>
      <c r="K999" s="2">
        <v>23069.16</v>
      </c>
      <c r="L999">
        <v>6.2</v>
      </c>
      <c r="M999">
        <v>60</v>
      </c>
      <c r="N999">
        <v>4084</v>
      </c>
      <c r="O999">
        <v>50</v>
      </c>
      <c r="P999" t="s">
        <v>430</v>
      </c>
      <c r="Q999" t="s">
        <v>150</v>
      </c>
      <c r="R999" s="2">
        <f>Table1[[#This Row],[Global_BoxOfficeUSD]]-Table1[[#This Row],[BudgetUSD]]</f>
        <v>0</v>
      </c>
      <c r="S999" s="15">
        <f>Table1[[#This Row],[Profit]]/Table1[[#This Row],[BudgetUSD]]</f>
        <v>0</v>
      </c>
      <c r="T999" t="str">
        <f>IF(Table1[[#This Row],[ROI]]&gt;100%,"Hit","Flop")</f>
        <v>Flop</v>
      </c>
    </row>
    <row r="1000" spans="1:20" x14ac:dyDescent="0.3">
      <c r="A1000" t="s">
        <v>1444</v>
      </c>
      <c r="G1000" s="2">
        <f>SUM(G2:G999)</f>
        <v>9319224936.4599819</v>
      </c>
      <c r="Q1000">
        <f>SUBTOTAL(103,Table1[LeadActor])</f>
        <v>998</v>
      </c>
      <c r="R1000" s="2"/>
      <c r="S1000" s="15"/>
    </row>
  </sheetData>
  <sortState xmlns:xlrd2="http://schemas.microsoft.com/office/spreadsheetml/2017/richdata2" ref="A2:Q999">
    <sortCondition ref="F2:F999"/>
    <sortCondition ref="C2:C999"/>
  </sortState>
  <conditionalFormatting sqref="L2:L999">
    <cfRule type="cellIs" priority="4" operator="greaterThan">
      <formula>8</formula>
    </cfRule>
    <cfRule type="cellIs" dxfId="0" priority="3" operator="greaterThan">
      <formula>8</formula>
    </cfRule>
    <cfRule type="cellIs" dxfId="1" priority="2" operator="between">
      <formula>6</formula>
      <formula>8</formula>
    </cfRule>
    <cfRule type="cellIs" dxfId="2" priority="1" operator="lessThan">
      <formula>6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6406-08E5-4A05-829F-6583CFA6E20C}">
  <dimension ref="A1:I21"/>
  <sheetViews>
    <sheetView zoomScale="76" zoomScaleNormal="130" workbookViewId="0">
      <selection activeCell="I8" sqref="I8"/>
    </sheetView>
  </sheetViews>
  <sheetFormatPr defaultRowHeight="14.4" x14ac:dyDescent="0.3"/>
  <cols>
    <col min="1" max="1" width="41" bestFit="1" customWidth="1"/>
    <col min="2" max="2" width="26" bestFit="1" customWidth="1"/>
    <col min="3" max="3" width="18.21875" bestFit="1" customWidth="1"/>
    <col min="5" max="5" width="7.21875" customWidth="1"/>
    <col min="6" max="6" width="16.33203125" customWidth="1"/>
    <col min="7" max="7" width="13.44140625" customWidth="1"/>
    <col min="8" max="8" width="11.109375" customWidth="1"/>
    <col min="9" max="9" width="10.21875" customWidth="1"/>
    <col min="10" max="10" width="13.33203125" customWidth="1"/>
    <col min="11" max="11" width="19.109375" bestFit="1" customWidth="1"/>
    <col min="12" max="16" width="8.88671875" customWidth="1"/>
  </cols>
  <sheetData>
    <row r="1" spans="1:9" ht="34.200000000000003" thickBot="1" x14ac:dyDescent="0.7">
      <c r="A1" s="56" t="s">
        <v>1413</v>
      </c>
      <c r="B1" s="57"/>
      <c r="C1" s="57"/>
      <c r="D1" s="58"/>
    </row>
    <row r="2" spans="1:9" ht="16.8" customHeight="1" x14ac:dyDescent="0.3">
      <c r="A2" s="59"/>
      <c r="B2" s="59"/>
      <c r="C2" s="59"/>
      <c r="D2" s="59"/>
    </row>
    <row r="3" spans="1:9" x14ac:dyDescent="0.3">
      <c r="A3" s="10" t="s">
        <v>1409</v>
      </c>
      <c r="B3" s="9">
        <f>SUM(Table1[BudgetUSD])</f>
        <v>9319224936.4599819</v>
      </c>
    </row>
    <row r="4" spans="1:9" x14ac:dyDescent="0.3">
      <c r="A4" s="3" t="s">
        <v>1410</v>
      </c>
      <c r="B4" s="9">
        <f>SUM(Table1[[#All],[Global_BoxOfficeUSD]])</f>
        <v>24092500836.150047</v>
      </c>
    </row>
    <row r="5" spans="1:9" x14ac:dyDescent="0.3">
      <c r="A5" s="11" t="s">
        <v>1411</v>
      </c>
      <c r="B5" s="9">
        <f>SUM(Table1[Opening_Day_SalesUSD])</f>
        <v>2636023004.4200001</v>
      </c>
    </row>
    <row r="6" spans="1:9" ht="13.8" customHeight="1" x14ac:dyDescent="0.3">
      <c r="A6" s="4" t="s">
        <v>1412</v>
      </c>
      <c r="B6" s="9">
        <f>SUM(Table1[[#All],[One_Week_SalesUSD]])</f>
        <v>6579953159.9500074</v>
      </c>
    </row>
    <row r="7" spans="1:9" ht="15" customHeight="1" thickBot="1" x14ac:dyDescent="0.35"/>
    <row r="8" spans="1:9" ht="34.200000000000003" thickBot="1" x14ac:dyDescent="0.7">
      <c r="A8" s="60" t="s">
        <v>1417</v>
      </c>
      <c r="B8" s="61"/>
      <c r="C8" s="61"/>
      <c r="D8" s="62"/>
    </row>
    <row r="10" spans="1:9" x14ac:dyDescent="0.3">
      <c r="A10" s="3" t="s">
        <v>1414</v>
      </c>
      <c r="B10" s="5">
        <f>MAX('Raw Data'!L:L)</f>
        <v>10</v>
      </c>
    </row>
    <row r="11" spans="1:9" x14ac:dyDescent="0.3">
      <c r="A11" s="4" t="s">
        <v>1415</v>
      </c>
      <c r="B11" s="5">
        <f>MIN('Raw Data'!L:L)</f>
        <v>1.9</v>
      </c>
      <c r="I11" s="12"/>
    </row>
    <row r="12" spans="1:9" x14ac:dyDescent="0.3">
      <c r="A12" s="6" t="s">
        <v>1416</v>
      </c>
      <c r="B12" s="7">
        <f>AVERAGE('Raw Data'!L:L)</f>
        <v>6.5430861723446769</v>
      </c>
    </row>
    <row r="15" spans="1:9" ht="18" x14ac:dyDescent="0.35">
      <c r="A15" s="8" t="s">
        <v>1418</v>
      </c>
      <c r="B15" s="17">
        <f>COUNTA('Raw Data'!A:A)</f>
        <v>1000</v>
      </c>
    </row>
    <row r="16" spans="1:9" ht="18" x14ac:dyDescent="0.35">
      <c r="A16" s="25" t="s">
        <v>1419</v>
      </c>
      <c r="B16" s="18" t="s">
        <v>875</v>
      </c>
    </row>
    <row r="17" spans="1:2" ht="18" x14ac:dyDescent="0.35">
      <c r="A17" s="19" t="s">
        <v>1420</v>
      </c>
      <c r="B17" s="17" t="s">
        <v>1077</v>
      </c>
    </row>
    <row r="18" spans="1:2" ht="18" x14ac:dyDescent="0.35">
      <c r="A18" s="20" t="s">
        <v>1434</v>
      </c>
      <c r="B18" s="17" t="s">
        <v>1421</v>
      </c>
    </row>
    <row r="19" spans="1:2" ht="18" x14ac:dyDescent="0.35">
      <c r="A19" s="21" t="s">
        <v>1435</v>
      </c>
      <c r="B19" s="17" t="s">
        <v>38</v>
      </c>
    </row>
    <row r="20" spans="1:2" ht="18" x14ac:dyDescent="0.35">
      <c r="A20" s="22" t="s">
        <v>1436</v>
      </c>
      <c r="B20" s="23" t="s">
        <v>23</v>
      </c>
    </row>
    <row r="21" spans="1:2" ht="18" x14ac:dyDescent="0.35">
      <c r="A21" s="24"/>
      <c r="B21" s="24"/>
    </row>
  </sheetData>
  <mergeCells count="3">
    <mergeCell ref="A1:D1"/>
    <mergeCell ref="A2:D2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71F6-0596-4EF8-970F-F9ADB2F3B98D}">
  <dimension ref="A2:I26"/>
  <sheetViews>
    <sheetView zoomScale="82" zoomScaleNormal="100" workbookViewId="0">
      <selection activeCell="B5" sqref="B5"/>
    </sheetView>
  </sheetViews>
  <sheetFormatPr defaultRowHeight="14.4" x14ac:dyDescent="0.3"/>
  <cols>
    <col min="1" max="1" width="38.44140625" customWidth="1"/>
    <col min="2" max="2" width="23.33203125" bestFit="1" customWidth="1"/>
    <col min="4" max="4" width="32.44140625" customWidth="1"/>
    <col min="6" max="6" width="10.88671875" bestFit="1" customWidth="1"/>
    <col min="7" max="7" width="17.5546875" customWidth="1"/>
    <col min="8" max="8" width="19.77734375" bestFit="1" customWidth="1"/>
  </cols>
  <sheetData>
    <row r="2" spans="1:9" ht="15" thickBot="1" x14ac:dyDescent="0.35"/>
    <row r="3" spans="1:9" ht="24.6" thickTop="1" thickBot="1" x14ac:dyDescent="0.5">
      <c r="A3" s="32" t="s">
        <v>1418</v>
      </c>
      <c r="B3" s="47">
        <v>998</v>
      </c>
      <c r="D3" s="50" t="s">
        <v>1446</v>
      </c>
      <c r="E3" s="51"/>
      <c r="H3" s="54" t="s">
        <v>1445</v>
      </c>
      <c r="I3" s="55"/>
    </row>
    <row r="4" spans="1:9" ht="15" customHeight="1" thickBot="1" x14ac:dyDescent="0.4">
      <c r="A4" s="33" t="s">
        <v>1440</v>
      </c>
      <c r="B4" s="34">
        <f>SUM(Table1[[#Data],[#Totals],[BudgetUSD]])</f>
        <v>18638449872.919964</v>
      </c>
      <c r="D4" s="52"/>
      <c r="E4" s="53"/>
      <c r="H4" s="30" t="s">
        <v>19</v>
      </c>
      <c r="I4" s="31">
        <v>31</v>
      </c>
    </row>
    <row r="5" spans="1:9" ht="18" x14ac:dyDescent="0.35">
      <c r="A5" s="33" t="s">
        <v>1410</v>
      </c>
      <c r="B5" s="48">
        <f>SUM(Table1[Global_BoxOfficeUSD])</f>
        <v>24092500836.150047</v>
      </c>
      <c r="D5" s="41" t="s">
        <v>67</v>
      </c>
      <c r="E5" s="42">
        <v>148</v>
      </c>
      <c r="H5" s="26" t="s">
        <v>152</v>
      </c>
      <c r="I5" s="27">
        <v>24</v>
      </c>
    </row>
    <row r="6" spans="1:9" ht="18" x14ac:dyDescent="0.35">
      <c r="A6" s="33" t="s">
        <v>1441</v>
      </c>
      <c r="B6" s="35">
        <f>AVERAGE(Table1[IMDbRating])</f>
        <v>6.5430861723446769</v>
      </c>
      <c r="D6" s="43" t="s">
        <v>18</v>
      </c>
      <c r="E6" s="44">
        <v>205</v>
      </c>
      <c r="H6" s="26" t="s">
        <v>249</v>
      </c>
      <c r="I6" s="27">
        <v>42</v>
      </c>
    </row>
    <row r="7" spans="1:9" ht="18" x14ac:dyDescent="0.35">
      <c r="A7" s="33" t="s">
        <v>1442</v>
      </c>
      <c r="B7" s="49" t="s">
        <v>875</v>
      </c>
      <c r="D7" s="43" t="s">
        <v>33</v>
      </c>
      <c r="E7" s="44">
        <v>54</v>
      </c>
      <c r="H7" s="26" t="s">
        <v>132</v>
      </c>
      <c r="I7" s="27">
        <v>26</v>
      </c>
    </row>
    <row r="8" spans="1:9" ht="18.600000000000001" thickBot="1" x14ac:dyDescent="0.4">
      <c r="A8" s="36" t="s">
        <v>1443</v>
      </c>
      <c r="B8" s="37" t="s">
        <v>1421</v>
      </c>
      <c r="D8" s="43" t="s">
        <v>38</v>
      </c>
      <c r="E8" s="44">
        <v>248</v>
      </c>
      <c r="H8" s="26" t="s">
        <v>267</v>
      </c>
      <c r="I8" s="27">
        <v>12</v>
      </c>
    </row>
    <row r="9" spans="1:9" x14ac:dyDescent="0.3">
      <c r="D9" s="43" t="s">
        <v>45</v>
      </c>
      <c r="E9" s="44">
        <v>90</v>
      </c>
      <c r="H9" s="26" t="s">
        <v>34</v>
      </c>
      <c r="I9" s="27">
        <v>58</v>
      </c>
    </row>
    <row r="10" spans="1:9" x14ac:dyDescent="0.3">
      <c r="D10" s="43" t="s">
        <v>86</v>
      </c>
      <c r="E10" s="44">
        <v>100</v>
      </c>
      <c r="H10" s="26" t="s">
        <v>318</v>
      </c>
      <c r="I10" s="27">
        <v>20</v>
      </c>
    </row>
    <row r="11" spans="1:9" x14ac:dyDescent="0.3">
      <c r="D11" s="43" t="s">
        <v>107</v>
      </c>
      <c r="E11" s="44">
        <v>44</v>
      </c>
      <c r="H11" s="26" t="s">
        <v>642</v>
      </c>
      <c r="I11" s="27">
        <v>10</v>
      </c>
    </row>
    <row r="12" spans="1:9" ht="15" thickBot="1" x14ac:dyDescent="0.35">
      <c r="D12" s="45" t="s">
        <v>77</v>
      </c>
      <c r="E12" s="46">
        <v>109</v>
      </c>
      <c r="H12" s="26" t="s">
        <v>23</v>
      </c>
      <c r="I12" s="27">
        <v>772</v>
      </c>
    </row>
    <row r="13" spans="1:9" ht="15" thickBot="1" x14ac:dyDescent="0.35">
      <c r="H13" s="28" t="s">
        <v>139</v>
      </c>
      <c r="I13" s="29">
        <v>53</v>
      </c>
    </row>
    <row r="14" spans="1:9" ht="21.6" thickBot="1" x14ac:dyDescent="0.45">
      <c r="A14" s="38" t="s">
        <v>1434</v>
      </c>
    </row>
    <row r="15" spans="1:9" x14ac:dyDescent="0.3">
      <c r="A15" s="39" t="s">
        <v>1422</v>
      </c>
    </row>
    <row r="16" spans="1:9" x14ac:dyDescent="0.3">
      <c r="A16" s="39" t="s">
        <v>1424</v>
      </c>
    </row>
    <row r="17" spans="1:1" x14ac:dyDescent="0.3">
      <c r="A17" s="39" t="s">
        <v>1423</v>
      </c>
    </row>
    <row r="18" spans="1:1" x14ac:dyDescent="0.3">
      <c r="A18" s="39" t="s">
        <v>1425</v>
      </c>
    </row>
    <row r="19" spans="1:1" x14ac:dyDescent="0.3">
      <c r="A19" s="39" t="s">
        <v>1426</v>
      </c>
    </row>
    <row r="20" spans="1:1" x14ac:dyDescent="0.3">
      <c r="A20" s="39" t="s">
        <v>1427</v>
      </c>
    </row>
    <row r="21" spans="1:1" x14ac:dyDescent="0.3">
      <c r="A21" s="39" t="s">
        <v>1428</v>
      </c>
    </row>
    <row r="22" spans="1:1" x14ac:dyDescent="0.3">
      <c r="A22" s="39" t="s">
        <v>1429</v>
      </c>
    </row>
    <row r="23" spans="1:1" x14ac:dyDescent="0.3">
      <c r="A23" s="39" t="s">
        <v>1430</v>
      </c>
    </row>
    <row r="24" spans="1:1" x14ac:dyDescent="0.3">
      <c r="A24" s="39" t="s">
        <v>1431</v>
      </c>
    </row>
    <row r="25" spans="1:1" x14ac:dyDescent="0.3">
      <c r="A25" s="39" t="s">
        <v>1432</v>
      </c>
    </row>
    <row r="26" spans="1:1" ht="15" thickBot="1" x14ac:dyDescent="0.35">
      <c r="A26" s="40" t="s">
        <v>1433</v>
      </c>
    </row>
  </sheetData>
  <mergeCells count="2">
    <mergeCell ref="D3:E4"/>
    <mergeCell ref="H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Dipti Singhal</cp:lastModifiedBy>
  <dcterms:created xsi:type="dcterms:W3CDTF">2026-07-02T12:59:47Z</dcterms:created>
  <dcterms:modified xsi:type="dcterms:W3CDTF">2026-07-09T09:53:58Z</dcterms:modified>
</cp:coreProperties>
</file>